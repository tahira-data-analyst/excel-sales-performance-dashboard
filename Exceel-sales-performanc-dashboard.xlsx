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qso\OneDrive\Documents\"/>
    </mc:Choice>
  </mc:AlternateContent>
  <xr:revisionPtr revIDLastSave="0" documentId="13_ncr:1_{AA1407CB-CB3D-4612-8913-E1FF33FE25EC}" xr6:coauthVersionLast="47" xr6:coauthVersionMax="47" xr10:uidLastSave="{00000000-0000-0000-0000-000000000000}"/>
  <bookViews>
    <workbookView xWindow="-110" yWindow="-110" windowWidth="19420" windowHeight="10300" activeTab="1" xr2:uid="{00000000-000D-0000-FFFF-FFFF00000000}"/>
  </bookViews>
  <sheets>
    <sheet name="Pivot tables" sheetId="5" r:id="rId1"/>
    <sheet name="Dashboard" sheetId="6" r:id="rId2"/>
    <sheet name="Sales_Data" sheetId="1" r:id="rId3"/>
    <sheet name="Employee_Data" sheetId="2" r:id="rId4"/>
    <sheet name="Products_Master" sheetId="3" r:id="rId5"/>
    <sheet name="Customers_Master" sheetId="4" r:id="rId6"/>
  </sheets>
  <definedNames>
    <definedName name="_xlnm._FilterDatabase" localSheetId="3" hidden="1">Employee_Data!$A$1:$H$101</definedName>
    <definedName name="_xlnm._FilterDatabase" localSheetId="2" hidden="1">Sales_Data!$A$1:$O$501</definedName>
    <definedName name="Slicer_Category">#N/A</definedName>
    <definedName name="Slicer_Month_name">#N/A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K3" i="2"/>
  <c r="K4" i="2"/>
  <c r="K5" i="2"/>
  <c r="K6" i="2"/>
  <c r="K2" i="2"/>
  <c r="J6" i="2"/>
  <c r="J3" i="2"/>
  <c r="J4" i="2"/>
  <c r="J5" i="2"/>
  <c r="J2"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2" i="1"/>
</calcChain>
</file>

<file path=xl/sharedStrings.xml><?xml version="1.0" encoding="utf-8"?>
<sst xmlns="http://schemas.openxmlformats.org/spreadsheetml/2006/main" count="3860" uniqueCount="1192">
  <si>
    <t>OrderID</t>
  </si>
  <si>
    <t>Date</t>
  </si>
  <si>
    <t>Product</t>
  </si>
  <si>
    <t>Category</t>
  </si>
  <si>
    <t>Region</t>
  </si>
  <si>
    <t>SalesPerson</t>
  </si>
  <si>
    <t>Quantity</t>
  </si>
  <si>
    <t>UnitPrice</t>
  </si>
  <si>
    <t>Discount%</t>
  </si>
  <si>
    <t>TotalPrice</t>
  </si>
  <si>
    <t>FinalPrice</t>
  </si>
  <si>
    <t>ORD-1126</t>
  </si>
  <si>
    <t>Mobile</t>
  </si>
  <si>
    <t>Electronics</t>
  </si>
  <si>
    <t>Islamabad</t>
  </si>
  <si>
    <t>Bilal</t>
  </si>
  <si>
    <t>ORD-1405</t>
  </si>
  <si>
    <t>Headphone</t>
  </si>
  <si>
    <t>Accessories</t>
  </si>
  <si>
    <t>Peshawar</t>
  </si>
  <si>
    <t>ORD-1382</t>
  </si>
  <si>
    <t>Faisalabad</t>
  </si>
  <si>
    <t>ORD-1221</t>
  </si>
  <si>
    <t>Tablet</t>
  </si>
  <si>
    <t>Lahore</t>
  </si>
  <si>
    <t>Ali</t>
  </si>
  <si>
    <t>ORD-1114</t>
  </si>
  <si>
    <t>Keyboard</t>
  </si>
  <si>
    <t>ORD-1304</t>
  </si>
  <si>
    <t>Fatima</t>
  </si>
  <si>
    <t>ORD-1441</t>
  </si>
  <si>
    <t>Monitor</t>
  </si>
  <si>
    <t>Ayesha</t>
  </si>
  <si>
    <t>ORD-1496</t>
  </si>
  <si>
    <t>Ahmed</t>
  </si>
  <si>
    <t>ORD-1021</t>
  </si>
  <si>
    <t>Charger</t>
  </si>
  <si>
    <t>Karachi</t>
  </si>
  <si>
    <t>ORD-1163</t>
  </si>
  <si>
    <t>Multan</t>
  </si>
  <si>
    <t>Usman</t>
  </si>
  <si>
    <t>ORD-1282</t>
  </si>
  <si>
    <t>Mouse</t>
  </si>
  <si>
    <t>ORD-1266</t>
  </si>
  <si>
    <t>ORD-1311</t>
  </si>
  <si>
    <t>ORD-1105</t>
  </si>
  <si>
    <t>ORD-1209</t>
  </si>
  <si>
    <t>ORD-1129</t>
  </si>
  <si>
    <t>ORD-1493</t>
  </si>
  <si>
    <t>Sara</t>
  </si>
  <si>
    <t>ORD-1160</t>
  </si>
  <si>
    <t>ORD-1353</t>
  </si>
  <si>
    <t>ORD-1335</t>
  </si>
  <si>
    <t>ORD-1428</t>
  </si>
  <si>
    <t>Laptop</t>
  </si>
  <si>
    <t>ORD-1001</t>
  </si>
  <si>
    <t>ORD-1015</t>
  </si>
  <si>
    <t>ORD-1364</t>
  </si>
  <si>
    <t>ORD-1010</t>
  </si>
  <si>
    <t>ORD-1071</t>
  </si>
  <si>
    <t>ORD-1009</t>
  </si>
  <si>
    <t>ORD-1168</t>
  </si>
  <si>
    <t>ORD-1315</t>
  </si>
  <si>
    <t>ORD-1344</t>
  </si>
  <si>
    <t>ORD-1369</t>
  </si>
  <si>
    <t>ORD-1323</t>
  </si>
  <si>
    <t>ORD-1250</t>
  </si>
  <si>
    <t>ORD-1320</t>
  </si>
  <si>
    <t>ORD-1036</t>
  </si>
  <si>
    <t>ORD-1380</t>
  </si>
  <si>
    <t>ORD-1303</t>
  </si>
  <si>
    <t>ORD-1045</t>
  </si>
  <si>
    <t>ORD-1429</t>
  </si>
  <si>
    <t>ORD-1095</t>
  </si>
  <si>
    <t>ORD-1208</t>
  </si>
  <si>
    <t>ORD-1236</t>
  </si>
  <si>
    <t>ORD-1448</t>
  </si>
  <si>
    <t>ORD-1299</t>
  </si>
  <si>
    <t>ORD-1189</t>
  </si>
  <si>
    <t>ORD-1069</t>
  </si>
  <si>
    <t>ORD-1235</t>
  </si>
  <si>
    <t>ORD-1240</t>
  </si>
  <si>
    <t>ORD-1134</t>
  </si>
  <si>
    <t>ORD-1232</t>
  </si>
  <si>
    <t>ORD-1165</t>
  </si>
  <si>
    <t>ORD-1218</t>
  </si>
  <si>
    <t>ORD-1191</t>
  </si>
  <si>
    <t>ORD-1233</t>
  </si>
  <si>
    <t>ORD-1489</t>
  </si>
  <si>
    <t>ORD-1158</t>
  </si>
  <si>
    <t>ORD-1483</t>
  </si>
  <si>
    <t>ORD-1100</t>
  </si>
  <si>
    <t>ORD-1075</t>
  </si>
  <si>
    <t>ORD-1245</t>
  </si>
  <si>
    <t>ORD-1167</t>
  </si>
  <si>
    <t>ORD-1139</t>
  </si>
  <si>
    <t>ORD-1244</t>
  </si>
  <si>
    <t>ORD-1275</t>
  </si>
  <si>
    <t>ORD-1044</t>
  </si>
  <si>
    <t>ORD-1387</t>
  </si>
  <si>
    <t>ORD-1358</t>
  </si>
  <si>
    <t>ORD-1164</t>
  </si>
  <si>
    <t>ORD-1170</t>
  </si>
  <si>
    <t>ORD-1060</t>
  </si>
  <si>
    <t>ORD-1265</t>
  </si>
  <si>
    <t>ORD-1432</t>
  </si>
  <si>
    <t>ORD-1269</t>
  </si>
  <si>
    <t>ORD-1205</t>
  </si>
  <si>
    <t>ORD-1313</t>
  </si>
  <si>
    <t>ORD-1470</t>
  </si>
  <si>
    <t>ORD-1040</t>
  </si>
  <si>
    <t>ORD-1136</t>
  </si>
  <si>
    <t>ORD-1048</t>
  </si>
  <si>
    <t>ORD-1242</t>
  </si>
  <si>
    <t>ORD-1476</t>
  </si>
  <si>
    <t>ORD-1251</t>
  </si>
  <si>
    <t>ORD-1418</t>
  </si>
  <si>
    <t>ORD-1137</t>
  </si>
  <si>
    <t>ORD-1007</t>
  </si>
  <si>
    <t>ORD-1094</t>
  </si>
  <si>
    <t>ORD-1300</t>
  </si>
  <si>
    <t>ORD-1030</t>
  </si>
  <si>
    <t>ORD-1011</t>
  </si>
  <si>
    <t>ORD-1210</t>
  </si>
  <si>
    <t>ORD-1422</t>
  </si>
  <si>
    <t>ORD-1182</t>
  </si>
  <si>
    <t>ORD-1183</t>
  </si>
  <si>
    <t>ORD-1032</t>
  </si>
  <si>
    <t>ORD-1207</t>
  </si>
  <si>
    <t>ORD-1190</t>
  </si>
  <si>
    <t>ORD-1268</t>
  </si>
  <si>
    <t>ORD-1050</t>
  </si>
  <si>
    <t>ORD-1006</t>
  </si>
  <si>
    <t>ORD-1029</t>
  </si>
  <si>
    <t>ORD-1327</t>
  </si>
  <si>
    <t>ORD-1284</t>
  </si>
  <si>
    <t>ORD-1119</t>
  </si>
  <si>
    <t>ORD-1288</t>
  </si>
  <si>
    <t>ORD-1442</t>
  </si>
  <si>
    <t>ORD-1342</t>
  </si>
  <si>
    <t>ORD-1370</t>
  </si>
  <si>
    <t>ORD-1194</t>
  </si>
  <si>
    <t>ORD-1096</t>
  </si>
  <si>
    <t>ORD-1130</t>
  </si>
  <si>
    <t>ORD-1312</t>
  </si>
  <si>
    <t>ORD-1000</t>
  </si>
  <si>
    <t>ORD-1109</t>
  </si>
  <si>
    <t>ORD-1106</t>
  </si>
  <si>
    <t>ORD-1365</t>
  </si>
  <si>
    <t>ORD-1376</t>
  </si>
  <si>
    <t>ORD-1287</t>
  </si>
  <si>
    <t>ORD-1248</t>
  </si>
  <si>
    <t>ORD-1155</t>
  </si>
  <si>
    <t>ORD-1450</t>
  </si>
  <si>
    <t>ORD-1038</t>
  </si>
  <si>
    <t>ORD-1390</t>
  </si>
  <si>
    <t>ORD-1140</t>
  </si>
  <si>
    <t>ORD-1319</t>
  </si>
  <si>
    <t>ORD-1398</t>
  </si>
  <si>
    <t>ORD-1141</t>
  </si>
  <si>
    <t>ORD-1306</t>
  </si>
  <si>
    <t>ORD-1261</t>
  </si>
  <si>
    <t>ORD-1273</t>
  </si>
  <si>
    <t>ORD-1176</t>
  </si>
  <si>
    <t>ORD-1452</t>
  </si>
  <si>
    <t>ORD-1285</t>
  </si>
  <si>
    <t>ORD-1091</t>
  </si>
  <si>
    <t>ORD-1477</t>
  </si>
  <si>
    <t>ORD-1005</t>
  </si>
  <si>
    <t>ORD-1084</t>
  </si>
  <si>
    <t>ORD-1199</t>
  </si>
  <si>
    <t>ORD-1082</t>
  </si>
  <si>
    <t>ORD-1427</t>
  </si>
  <si>
    <t>ORD-1440</t>
  </si>
  <si>
    <t>ORD-1317</t>
  </si>
  <si>
    <t>ORD-1314</t>
  </si>
  <si>
    <t>ORD-1478</t>
  </si>
  <si>
    <t>ORD-1097</t>
  </si>
  <si>
    <t>ORD-1123</t>
  </si>
  <si>
    <t>ORD-1481</t>
  </si>
  <si>
    <t>ORD-1228</t>
  </si>
  <si>
    <t>ORD-1330</t>
  </si>
  <si>
    <t>ORD-1289</t>
  </si>
  <si>
    <t>ORD-1026</t>
  </si>
  <si>
    <t>ORD-1279</t>
  </si>
  <si>
    <t>ORD-1239</t>
  </si>
  <si>
    <t>ORD-1112</t>
  </si>
  <si>
    <t>ORD-1459</t>
  </si>
  <si>
    <t>ORD-1022</t>
  </si>
  <si>
    <t>ORD-1341</t>
  </si>
  <si>
    <t>ORD-1098</t>
  </si>
  <si>
    <t>ORD-1308</t>
  </si>
  <si>
    <t>ORD-1125</t>
  </si>
  <si>
    <t>ORD-1055</t>
  </si>
  <si>
    <t>ORD-1332</t>
  </si>
  <si>
    <t>ORD-1063</t>
  </si>
  <si>
    <t>ORD-1219</t>
  </si>
  <si>
    <t>ORD-1143</t>
  </si>
  <si>
    <t>ORD-1212</t>
  </si>
  <si>
    <t>ORD-1417</t>
  </si>
  <si>
    <t>ORD-1061</t>
  </si>
  <si>
    <t>ORD-1402</t>
  </si>
  <si>
    <t>ORD-1445</t>
  </si>
  <si>
    <t>ORD-1333</t>
  </si>
  <si>
    <t>ORD-1367</t>
  </si>
  <si>
    <t>ORD-1117</t>
  </si>
  <si>
    <t>ORD-1336</t>
  </si>
  <si>
    <t>ORD-1201</t>
  </si>
  <si>
    <t>ORD-1243</t>
  </si>
  <si>
    <t>ORD-1181</t>
  </si>
  <si>
    <t>ORD-1197</t>
  </si>
  <si>
    <t>ORD-1229</t>
  </si>
  <si>
    <t>ORD-1378</t>
  </si>
  <si>
    <t>ORD-1399</t>
  </si>
  <si>
    <t>ORD-1196</t>
  </si>
  <si>
    <t>ORD-1043</t>
  </si>
  <si>
    <t>ORD-1354</t>
  </si>
  <si>
    <t>ORD-1435</t>
  </si>
  <si>
    <t>ORD-1384</t>
  </si>
  <si>
    <t>ORD-1122</t>
  </si>
  <si>
    <t>ORD-1426</t>
  </si>
  <si>
    <t>ORD-1016</t>
  </si>
  <si>
    <t>ORD-1347</t>
  </si>
  <si>
    <t>ORD-1148</t>
  </si>
  <si>
    <t>ORD-1294</t>
  </si>
  <si>
    <t>ORD-1256</t>
  </si>
  <si>
    <t>ORD-1490</t>
  </si>
  <si>
    <t>ORD-1058</t>
  </si>
  <si>
    <t>ORD-1325</t>
  </si>
  <si>
    <t>ORD-1408</t>
  </si>
  <si>
    <t>ORD-1292</t>
  </si>
  <si>
    <t>ORD-1147</t>
  </si>
  <si>
    <t>ORD-1076</t>
  </si>
  <si>
    <t>ORD-1078</t>
  </si>
  <si>
    <t>ORD-1270</t>
  </si>
  <si>
    <t>ORD-1414</t>
  </si>
  <si>
    <t>ORD-1216</t>
  </si>
  <si>
    <t>ORD-1482</t>
  </si>
  <si>
    <t>ORD-1175</t>
  </si>
  <si>
    <t>ORD-1027</t>
  </si>
  <si>
    <t>ORD-1231</t>
  </si>
  <si>
    <t>ORD-1012</t>
  </si>
  <si>
    <t>ORD-1090</t>
  </si>
  <si>
    <t>ORD-1444</t>
  </si>
  <si>
    <t>ORD-1067</t>
  </si>
  <si>
    <t>ORD-1018</t>
  </si>
  <si>
    <t>ORD-1162</t>
  </si>
  <si>
    <t>ORD-1346</t>
  </si>
  <si>
    <t>ORD-1352</t>
  </si>
  <si>
    <t>ORD-1004</t>
  </si>
  <si>
    <t>ORD-1157</t>
  </si>
  <si>
    <t>ORD-1425</t>
  </si>
  <si>
    <t>ORD-1351</t>
  </si>
  <si>
    <t>ORD-1046</t>
  </si>
  <si>
    <t>ORD-1070</t>
  </si>
  <si>
    <t>ORD-1166</t>
  </si>
  <si>
    <t>ORD-1161</t>
  </si>
  <si>
    <t>ORD-1479</t>
  </si>
  <si>
    <t>ORD-1013</t>
  </si>
  <si>
    <t>ORD-1049</t>
  </si>
  <si>
    <t>ORD-1246</t>
  </si>
  <si>
    <t>ORD-1472</t>
  </si>
  <si>
    <t>ORD-1423</t>
  </si>
  <si>
    <t>ORD-1331</t>
  </si>
  <si>
    <t>ORD-1211</t>
  </si>
  <si>
    <t>ORD-1172</t>
  </si>
  <si>
    <t>ORD-1467</t>
  </si>
  <si>
    <t>ORD-1258</t>
  </si>
  <si>
    <t>ORD-1133</t>
  </si>
  <si>
    <t>ORD-1135</t>
  </si>
  <si>
    <t>ORD-1178</t>
  </si>
  <si>
    <t>ORD-1439</t>
  </si>
  <si>
    <t>ORD-1430</t>
  </si>
  <si>
    <t>ORD-1062</t>
  </si>
  <si>
    <t>ORD-1276</t>
  </si>
  <si>
    <t>ORD-1003</t>
  </si>
  <si>
    <t>ORD-1249</t>
  </si>
  <si>
    <t>ORD-1085</t>
  </si>
  <si>
    <t>ORD-1156</t>
  </si>
  <si>
    <t>ORD-1463</t>
  </si>
  <si>
    <t>ORD-1195</t>
  </si>
  <si>
    <t>ORD-1339</t>
  </si>
  <si>
    <t>ORD-1204</t>
  </si>
  <si>
    <t>ORD-1449</t>
  </si>
  <si>
    <t>ORD-1326</t>
  </si>
  <si>
    <t>ORD-1298</t>
  </si>
  <si>
    <t>ORD-1104</t>
  </si>
  <si>
    <t>ORD-1379</t>
  </si>
  <si>
    <t>ORD-1462</t>
  </si>
  <si>
    <t>ORD-1255</t>
  </si>
  <si>
    <t>ORD-1366</t>
  </si>
  <si>
    <t>ORD-1307</t>
  </si>
  <si>
    <t>ORD-1115</t>
  </si>
  <si>
    <t>ORD-1086</t>
  </si>
  <si>
    <t>ORD-1295</t>
  </si>
  <si>
    <t>ORD-1286</t>
  </si>
  <si>
    <t>ORD-1035</t>
  </si>
  <si>
    <t>ORD-1368</t>
  </si>
  <si>
    <t>ORD-1272</t>
  </si>
  <si>
    <t>ORD-1144</t>
  </si>
  <si>
    <t>ORD-1259</t>
  </si>
  <si>
    <t>ORD-1223</t>
  </si>
  <si>
    <t>ORD-1083</t>
  </si>
  <si>
    <t>ORD-1340</t>
  </si>
  <si>
    <t>ORD-1059</t>
  </si>
  <si>
    <t>ORD-1107</t>
  </si>
  <si>
    <t>ORD-1074</t>
  </si>
  <si>
    <t>ORD-1066</t>
  </si>
  <si>
    <t>ORD-1473</t>
  </si>
  <si>
    <t>ORD-1290</t>
  </si>
  <si>
    <t>ORD-1468</t>
  </si>
  <si>
    <t>ORD-1002</t>
  </si>
  <si>
    <t>ORD-1302</t>
  </si>
  <si>
    <t>ORD-1464</t>
  </si>
  <si>
    <t>ORD-1025</t>
  </si>
  <si>
    <t>ORD-1020</t>
  </si>
  <si>
    <t>ORD-1052</t>
  </si>
  <si>
    <t>ORD-1359</t>
  </si>
  <si>
    <t>ORD-1173</t>
  </si>
  <si>
    <t>ORD-1357</t>
  </si>
  <si>
    <t>ORD-1202</t>
  </si>
  <si>
    <t>ORD-1291</t>
  </si>
  <si>
    <t>ORD-1419</t>
  </si>
  <si>
    <t>ORD-1278</t>
  </si>
  <si>
    <t>ORD-1471</t>
  </si>
  <si>
    <t>ORD-1225</t>
  </si>
  <si>
    <t>ORD-1407</t>
  </si>
  <si>
    <t>ORD-1047</t>
  </si>
  <si>
    <t>ORD-1110</t>
  </si>
  <si>
    <t>ORD-1041</t>
  </si>
  <si>
    <t>ORD-1397</t>
  </si>
  <si>
    <t>ORD-1230</t>
  </si>
  <si>
    <t>ORD-1120</t>
  </si>
  <si>
    <t>ORD-1498</t>
  </si>
  <si>
    <t>ORD-1283</t>
  </si>
  <si>
    <t>ORD-1391</t>
  </si>
  <si>
    <t>ORD-1262</t>
  </si>
  <si>
    <t>ORD-1403</t>
  </si>
  <si>
    <t>ORD-1281</t>
  </si>
  <si>
    <t>ORD-1406</t>
  </si>
  <si>
    <t>ORD-1350</t>
  </si>
  <si>
    <t>ORD-1132</t>
  </si>
  <si>
    <t>ORD-1321</t>
  </si>
  <si>
    <t>ORD-1393</t>
  </si>
  <si>
    <t>ORD-1424</t>
  </si>
  <si>
    <t>ORD-1149</t>
  </si>
  <si>
    <t>ORD-1373</t>
  </si>
  <si>
    <t>ORD-1389</t>
  </si>
  <si>
    <t>ORD-1234</t>
  </si>
  <si>
    <t>ORD-1257</t>
  </si>
  <si>
    <t>ORD-1077</t>
  </si>
  <si>
    <t>ORD-1072</t>
  </si>
  <si>
    <t>ORD-1254</t>
  </si>
  <si>
    <t>ORD-1264</t>
  </si>
  <si>
    <t>ORD-1454</t>
  </si>
  <si>
    <t>ORD-1475</t>
  </si>
  <si>
    <t>ORD-1410</t>
  </si>
  <si>
    <t>ORD-1127</t>
  </si>
  <si>
    <t>ORD-1068</t>
  </si>
  <si>
    <t>ORD-1395</t>
  </si>
  <si>
    <t>ORD-1356</t>
  </si>
  <si>
    <t>ORD-1388</t>
  </si>
  <si>
    <t>ORD-1486</t>
  </si>
  <si>
    <t>ORD-1169</t>
  </si>
  <si>
    <t>ORD-1363</t>
  </si>
  <si>
    <t>ORD-1337</t>
  </si>
  <si>
    <t>ORD-1305</t>
  </si>
  <si>
    <t>ORD-1421</t>
  </si>
  <si>
    <t>ORD-1474</t>
  </si>
  <si>
    <t>ORD-1028</t>
  </si>
  <si>
    <t>ORD-1159</t>
  </si>
  <si>
    <t>ORD-1193</t>
  </si>
  <si>
    <t>ORD-1108</t>
  </si>
  <si>
    <t>ORD-1024</t>
  </si>
  <si>
    <t>ORD-1293</t>
  </si>
  <si>
    <t>ORD-1034</t>
  </si>
  <si>
    <t>ORD-1372</t>
  </si>
  <si>
    <t>ORD-1274</t>
  </si>
  <si>
    <t>ORD-1349</t>
  </si>
  <si>
    <t>ORD-1360</t>
  </si>
  <si>
    <t>ORD-1497</t>
  </si>
  <si>
    <t>ORD-1328</t>
  </si>
  <si>
    <t>ORD-1185</t>
  </si>
  <si>
    <t>ORD-1057</t>
  </si>
  <si>
    <t>ORD-1324</t>
  </si>
  <si>
    <t>ORD-1033</t>
  </si>
  <si>
    <t>ORD-1089</t>
  </si>
  <si>
    <t>ORD-1042</t>
  </si>
  <si>
    <t>ORD-1131</t>
  </si>
  <si>
    <t>ORD-1385</t>
  </si>
  <si>
    <t>ORD-1322</t>
  </si>
  <si>
    <t>ORD-1054</t>
  </si>
  <si>
    <t>ORD-1316</t>
  </si>
  <si>
    <t>ORD-1277</t>
  </si>
  <si>
    <t>ORD-1056</t>
  </si>
  <si>
    <t>ORD-1151</t>
  </si>
  <si>
    <t>ORD-1124</t>
  </si>
  <si>
    <t>ORD-1039</t>
  </si>
  <si>
    <t>ORD-1220</t>
  </si>
  <si>
    <t>ORD-1401</t>
  </si>
  <si>
    <t>ORD-1065</t>
  </si>
  <si>
    <t>ORD-1031</t>
  </si>
  <si>
    <t>ORD-1494</t>
  </si>
  <si>
    <t>ORD-1051</t>
  </si>
  <si>
    <t>ORD-1102</t>
  </si>
  <si>
    <t>ORD-1343</t>
  </si>
  <si>
    <t>ORD-1480</t>
  </si>
  <si>
    <t>ORD-1436</t>
  </si>
  <si>
    <t>ORD-1101</t>
  </si>
  <si>
    <t>ORD-1377</t>
  </si>
  <si>
    <t>ORD-1492</t>
  </si>
  <si>
    <t>ORD-1222</t>
  </si>
  <si>
    <t>ORD-1499</t>
  </si>
  <si>
    <t>ORD-1080</t>
  </si>
  <si>
    <t>ORD-1260</t>
  </si>
  <si>
    <t>ORD-1088</t>
  </si>
  <si>
    <t>ORD-1355</t>
  </si>
  <si>
    <t>ORD-1150</t>
  </si>
  <si>
    <t>ORD-1362</t>
  </si>
  <si>
    <t>ORD-1438</t>
  </si>
  <si>
    <t>ORD-1073</t>
  </si>
  <si>
    <t>ORD-1217</t>
  </si>
  <si>
    <t>ORD-1192</t>
  </si>
  <si>
    <t>ORD-1396</t>
  </si>
  <si>
    <t>ORD-1247</t>
  </si>
  <si>
    <t>ORD-1404</t>
  </si>
  <si>
    <t>ORD-1329</t>
  </si>
  <si>
    <t>ORD-1213</t>
  </si>
  <si>
    <t>ORD-1180</t>
  </si>
  <si>
    <t>ORD-1485</t>
  </si>
  <si>
    <t>ORD-1394</t>
  </si>
  <si>
    <t>ORD-1187</t>
  </si>
  <si>
    <t>ORD-1338</t>
  </si>
  <si>
    <t>ORD-1334</t>
  </si>
  <si>
    <t>ORD-1484</t>
  </si>
  <si>
    <t>ORD-1434</t>
  </si>
  <si>
    <t>ORD-1488</t>
  </si>
  <si>
    <t>ORD-1017</t>
  </si>
  <si>
    <t>ORD-1252</t>
  </si>
  <si>
    <t>ORD-1491</t>
  </si>
  <si>
    <t>ORD-1400</t>
  </si>
  <si>
    <t>ORD-1008</t>
  </si>
  <si>
    <t>ORD-1023</t>
  </si>
  <si>
    <t>ORD-1200</t>
  </si>
  <si>
    <t>ORD-1099</t>
  </si>
  <si>
    <t>ORD-1301</t>
  </si>
  <si>
    <t>ORD-1186</t>
  </si>
  <si>
    <t>ORD-1226</t>
  </si>
  <si>
    <t>ORD-1146</t>
  </si>
  <si>
    <t>ORD-1443</t>
  </si>
  <si>
    <t>ORD-1457</t>
  </si>
  <si>
    <t>ORD-1310</t>
  </si>
  <si>
    <t>ORD-1087</t>
  </si>
  <si>
    <t>ORD-1409</t>
  </si>
  <si>
    <t>ORD-1318</t>
  </si>
  <si>
    <t>ORD-1184</t>
  </si>
  <si>
    <t>ORD-1386</t>
  </si>
  <si>
    <t>ORD-1371</t>
  </si>
  <si>
    <t>ORD-1111</t>
  </si>
  <si>
    <t>ORD-1381</t>
  </si>
  <si>
    <t>ORD-1374</t>
  </si>
  <si>
    <t>ORD-1152</t>
  </si>
  <si>
    <t>ORD-1280</t>
  </si>
  <si>
    <t>ORD-1469</t>
  </si>
  <si>
    <t>ORD-1309</t>
  </si>
  <si>
    <t>ORD-1413</t>
  </si>
  <si>
    <t>ORD-1412</t>
  </si>
  <si>
    <t>ORD-1206</t>
  </si>
  <si>
    <t>ORD-1455</t>
  </si>
  <si>
    <t>ORD-1458</t>
  </si>
  <si>
    <t>ORD-1019</t>
  </si>
  <si>
    <t>ORD-1198</t>
  </si>
  <si>
    <t>ORD-1461</t>
  </si>
  <si>
    <t>ORD-1154</t>
  </si>
  <si>
    <t>ORD-1053</t>
  </si>
  <si>
    <t>ORD-1113</t>
  </si>
  <si>
    <t>ORD-1224</t>
  </si>
  <si>
    <t>ORD-1433</t>
  </si>
  <si>
    <t>ORD-1451</t>
  </si>
  <si>
    <t>ORD-1263</t>
  </si>
  <si>
    <t>ORD-1267</t>
  </si>
  <si>
    <t>ORD-1081</t>
  </si>
  <si>
    <t>ORD-1037</t>
  </si>
  <si>
    <t>ORD-1348</t>
  </si>
  <si>
    <t>ORD-1064</t>
  </si>
  <si>
    <t>ORD-1203</t>
  </si>
  <si>
    <t>ORD-1453</t>
  </si>
  <si>
    <t>ORD-1447</t>
  </si>
  <si>
    <t>ORD-1411</t>
  </si>
  <si>
    <t>ORD-1487</t>
  </si>
  <si>
    <t>ORD-1188</t>
  </si>
  <si>
    <t>ORD-1103</t>
  </si>
  <si>
    <t>ORD-1345</t>
  </si>
  <si>
    <t>ORD-1177</t>
  </si>
  <si>
    <t>ORD-1416</t>
  </si>
  <si>
    <t>ORD-1179</t>
  </si>
  <si>
    <t>ORD-1460</t>
  </si>
  <si>
    <t>ORD-1431</t>
  </si>
  <si>
    <t>ORD-1142</t>
  </si>
  <si>
    <t>ORD-1237</t>
  </si>
  <si>
    <t>ORD-1495</t>
  </si>
  <si>
    <t>ORD-1215</t>
  </si>
  <si>
    <t>ORD-1466</t>
  </si>
  <si>
    <t>ORD-1138</t>
  </si>
  <si>
    <t>ORD-1174</t>
  </si>
  <si>
    <t>ORD-1214</t>
  </si>
  <si>
    <t>ORD-1227</t>
  </si>
  <si>
    <t>ORD-1297</t>
  </si>
  <si>
    <t>ORD-1128</t>
  </si>
  <si>
    <t>ORD-1093</t>
  </si>
  <si>
    <t>ORD-1437</t>
  </si>
  <si>
    <t>ORD-1079</t>
  </si>
  <si>
    <t>ORD-1116</t>
  </si>
  <si>
    <t>ORD-1238</t>
  </si>
  <si>
    <t>ORD-1456</t>
  </si>
  <si>
    <t>ORD-1296</t>
  </si>
  <si>
    <t>ORD-1014</t>
  </si>
  <si>
    <t>ORD-1271</t>
  </si>
  <si>
    <t>ORD-1392</t>
  </si>
  <si>
    <t>ORD-1121</t>
  </si>
  <si>
    <t>ORD-1118</t>
  </si>
  <si>
    <t>ORD-1241</t>
  </si>
  <si>
    <t>ORD-1092</t>
  </si>
  <si>
    <t>ORD-1361</t>
  </si>
  <si>
    <t>ORD-1375</t>
  </si>
  <si>
    <t>ORD-1415</t>
  </si>
  <si>
    <t>ORD-1171</t>
  </si>
  <si>
    <t>ORD-1420</t>
  </si>
  <si>
    <t>ORD-1153</t>
  </si>
  <si>
    <t>ORD-1446</t>
  </si>
  <si>
    <t>ORD-1383</t>
  </si>
  <si>
    <t>ORD-1465</t>
  </si>
  <si>
    <t>ORD-1253</t>
  </si>
  <si>
    <t>ORD-1145</t>
  </si>
  <si>
    <t>EmpID</t>
  </si>
  <si>
    <t>Name</t>
  </si>
  <si>
    <t>Department</t>
  </si>
  <si>
    <t>JoiningDate</t>
  </si>
  <si>
    <t>Salary</t>
  </si>
  <si>
    <t>PerformanceScore</t>
  </si>
  <si>
    <t>City</t>
  </si>
  <si>
    <t>EMP-1</t>
  </si>
  <si>
    <t>Employee_1</t>
  </si>
  <si>
    <t>IT</t>
  </si>
  <si>
    <t>EMP-2</t>
  </si>
  <si>
    <t>Employee_2</t>
  </si>
  <si>
    <t>Finance</t>
  </si>
  <si>
    <t>EMP-3</t>
  </si>
  <si>
    <t>Employee_3</t>
  </si>
  <si>
    <t>Marketing</t>
  </si>
  <si>
    <t>EMP-4</t>
  </si>
  <si>
    <t>Employee_4</t>
  </si>
  <si>
    <t>EMP-5</t>
  </si>
  <si>
    <t>Employee_5</t>
  </si>
  <si>
    <t>EMP-6</t>
  </si>
  <si>
    <t>Employee_6</t>
  </si>
  <si>
    <t>EMP-7</t>
  </si>
  <si>
    <t>Employee_7</t>
  </si>
  <si>
    <t>Sales</t>
  </si>
  <si>
    <t>EMP-8</t>
  </si>
  <si>
    <t>Employee_8</t>
  </si>
  <si>
    <t>EMP-9</t>
  </si>
  <si>
    <t>Employee_9</t>
  </si>
  <si>
    <t>HR</t>
  </si>
  <si>
    <t>EMP-10</t>
  </si>
  <si>
    <t>Employee_10</t>
  </si>
  <si>
    <t>EMP-11</t>
  </si>
  <si>
    <t>Employee_11</t>
  </si>
  <si>
    <t>EMP-12</t>
  </si>
  <si>
    <t>Employee_12</t>
  </si>
  <si>
    <t>EMP-13</t>
  </si>
  <si>
    <t>Employee_13</t>
  </si>
  <si>
    <t>EMP-14</t>
  </si>
  <si>
    <t>Employee_14</t>
  </si>
  <si>
    <t>EMP-15</t>
  </si>
  <si>
    <t>Employee_15</t>
  </si>
  <si>
    <t>EMP-16</t>
  </si>
  <si>
    <t>Employee_16</t>
  </si>
  <si>
    <t>EMP-17</t>
  </si>
  <si>
    <t>Employee_17</t>
  </si>
  <si>
    <t>EMP-18</t>
  </si>
  <si>
    <t>Employee_18</t>
  </si>
  <si>
    <t>EMP-19</t>
  </si>
  <si>
    <t>Employee_19</t>
  </si>
  <si>
    <t>EMP-20</t>
  </si>
  <si>
    <t>Employee_20</t>
  </si>
  <si>
    <t>EMP-21</t>
  </si>
  <si>
    <t>Employee_21</t>
  </si>
  <si>
    <t>EMP-22</t>
  </si>
  <si>
    <t>Employee_22</t>
  </si>
  <si>
    <t>EMP-23</t>
  </si>
  <si>
    <t>Employee_23</t>
  </si>
  <si>
    <t>EMP-24</t>
  </si>
  <si>
    <t>Employee_24</t>
  </si>
  <si>
    <t>EMP-25</t>
  </si>
  <si>
    <t>Employee_25</t>
  </si>
  <si>
    <t>EMP-26</t>
  </si>
  <si>
    <t>Employee_26</t>
  </si>
  <si>
    <t>EMP-27</t>
  </si>
  <si>
    <t>Employee_27</t>
  </si>
  <si>
    <t>EMP-28</t>
  </si>
  <si>
    <t>Employee_28</t>
  </si>
  <si>
    <t>EMP-29</t>
  </si>
  <si>
    <t>Employee_29</t>
  </si>
  <si>
    <t>EMP-30</t>
  </si>
  <si>
    <t>Employee_30</t>
  </si>
  <si>
    <t>EMP-31</t>
  </si>
  <si>
    <t>Employee_31</t>
  </si>
  <si>
    <t>EMP-32</t>
  </si>
  <si>
    <t>Employee_32</t>
  </si>
  <si>
    <t>EMP-33</t>
  </si>
  <si>
    <t>Employee_33</t>
  </si>
  <si>
    <t>EMP-34</t>
  </si>
  <si>
    <t>Employee_34</t>
  </si>
  <si>
    <t>EMP-35</t>
  </si>
  <si>
    <t>Employee_35</t>
  </si>
  <si>
    <t>EMP-36</t>
  </si>
  <si>
    <t>Employee_36</t>
  </si>
  <si>
    <t>EMP-37</t>
  </si>
  <si>
    <t>Employee_37</t>
  </si>
  <si>
    <t>EMP-38</t>
  </si>
  <si>
    <t>Employee_38</t>
  </si>
  <si>
    <t>EMP-39</t>
  </si>
  <si>
    <t>Employee_39</t>
  </si>
  <si>
    <t>EMP-40</t>
  </si>
  <si>
    <t>Employee_40</t>
  </si>
  <si>
    <t>EMP-41</t>
  </si>
  <si>
    <t>Employee_41</t>
  </si>
  <si>
    <t>EMP-42</t>
  </si>
  <si>
    <t>Employee_42</t>
  </si>
  <si>
    <t>EMP-43</t>
  </si>
  <si>
    <t>Employee_43</t>
  </si>
  <si>
    <t>EMP-44</t>
  </si>
  <si>
    <t>Employee_44</t>
  </si>
  <si>
    <t>EMP-45</t>
  </si>
  <si>
    <t>Employee_45</t>
  </si>
  <si>
    <t>EMP-46</t>
  </si>
  <si>
    <t>Employee_46</t>
  </si>
  <si>
    <t>EMP-47</t>
  </si>
  <si>
    <t>Employee_47</t>
  </si>
  <si>
    <t>EMP-48</t>
  </si>
  <si>
    <t>Employee_48</t>
  </si>
  <si>
    <t>EMP-49</t>
  </si>
  <si>
    <t>Employee_49</t>
  </si>
  <si>
    <t>EMP-50</t>
  </si>
  <si>
    <t>Employee_50</t>
  </si>
  <si>
    <t>EMP-51</t>
  </si>
  <si>
    <t>Employee_51</t>
  </si>
  <si>
    <t>EMP-52</t>
  </si>
  <si>
    <t>Employee_52</t>
  </si>
  <si>
    <t>EMP-53</t>
  </si>
  <si>
    <t>Employee_53</t>
  </si>
  <si>
    <t>EMP-54</t>
  </si>
  <si>
    <t>Employee_54</t>
  </si>
  <si>
    <t>EMP-55</t>
  </si>
  <si>
    <t>Employee_55</t>
  </si>
  <si>
    <t>EMP-56</t>
  </si>
  <si>
    <t>Employee_56</t>
  </si>
  <si>
    <t>EMP-57</t>
  </si>
  <si>
    <t>Employee_57</t>
  </si>
  <si>
    <t>EMP-58</t>
  </si>
  <si>
    <t>Employee_58</t>
  </si>
  <si>
    <t>EMP-59</t>
  </si>
  <si>
    <t>Employee_59</t>
  </si>
  <si>
    <t>EMP-60</t>
  </si>
  <si>
    <t>Employee_60</t>
  </si>
  <si>
    <t>EMP-61</t>
  </si>
  <si>
    <t>Employee_61</t>
  </si>
  <si>
    <t>EMP-62</t>
  </si>
  <si>
    <t>Employee_62</t>
  </si>
  <si>
    <t>EMP-63</t>
  </si>
  <si>
    <t>Employee_63</t>
  </si>
  <si>
    <t>EMP-64</t>
  </si>
  <si>
    <t>Employee_64</t>
  </si>
  <si>
    <t>EMP-65</t>
  </si>
  <si>
    <t>Employee_65</t>
  </si>
  <si>
    <t>EMP-66</t>
  </si>
  <si>
    <t>Employee_66</t>
  </si>
  <si>
    <t>EMP-67</t>
  </si>
  <si>
    <t>Employee_67</t>
  </si>
  <si>
    <t>EMP-68</t>
  </si>
  <si>
    <t>Employee_68</t>
  </si>
  <si>
    <t>EMP-69</t>
  </si>
  <si>
    <t>Employee_69</t>
  </si>
  <si>
    <t>EMP-70</t>
  </si>
  <si>
    <t>Employee_70</t>
  </si>
  <si>
    <t>EMP-71</t>
  </si>
  <si>
    <t>Employee_71</t>
  </si>
  <si>
    <t>EMP-72</t>
  </si>
  <si>
    <t>Employee_72</t>
  </si>
  <si>
    <t>EMP-73</t>
  </si>
  <si>
    <t>Employee_73</t>
  </si>
  <si>
    <t>EMP-74</t>
  </si>
  <si>
    <t>Employee_74</t>
  </si>
  <si>
    <t>EMP-75</t>
  </si>
  <si>
    <t>Employee_75</t>
  </si>
  <si>
    <t>EMP-76</t>
  </si>
  <si>
    <t>Employee_76</t>
  </si>
  <si>
    <t>EMP-77</t>
  </si>
  <si>
    <t>Employee_77</t>
  </si>
  <si>
    <t>EMP-78</t>
  </si>
  <si>
    <t>Employee_78</t>
  </si>
  <si>
    <t>EMP-79</t>
  </si>
  <si>
    <t>Employee_79</t>
  </si>
  <si>
    <t>EMP-80</t>
  </si>
  <si>
    <t>Employee_80</t>
  </si>
  <si>
    <t>EMP-81</t>
  </si>
  <si>
    <t>Employee_81</t>
  </si>
  <si>
    <t>EMP-82</t>
  </si>
  <si>
    <t>Employee_82</t>
  </si>
  <si>
    <t>EMP-83</t>
  </si>
  <si>
    <t>Employee_83</t>
  </si>
  <si>
    <t>EMP-84</t>
  </si>
  <si>
    <t>Employee_84</t>
  </si>
  <si>
    <t>EMP-85</t>
  </si>
  <si>
    <t>Employee_85</t>
  </si>
  <si>
    <t>EMP-86</t>
  </si>
  <si>
    <t>Employee_86</t>
  </si>
  <si>
    <t>EMP-87</t>
  </si>
  <si>
    <t>Employee_87</t>
  </si>
  <si>
    <t>EMP-88</t>
  </si>
  <si>
    <t>Employee_88</t>
  </si>
  <si>
    <t>EMP-89</t>
  </si>
  <si>
    <t>Employee_89</t>
  </si>
  <si>
    <t>EMP-90</t>
  </si>
  <si>
    <t>Employee_90</t>
  </si>
  <si>
    <t>EMP-91</t>
  </si>
  <si>
    <t>Employee_91</t>
  </si>
  <si>
    <t>EMP-92</t>
  </si>
  <si>
    <t>Employee_92</t>
  </si>
  <si>
    <t>EMP-93</t>
  </si>
  <si>
    <t>Employee_93</t>
  </si>
  <si>
    <t>EMP-94</t>
  </si>
  <si>
    <t>Employee_94</t>
  </si>
  <si>
    <t>EMP-95</t>
  </si>
  <si>
    <t>Employee_95</t>
  </si>
  <si>
    <t>EMP-96</t>
  </si>
  <si>
    <t>Employee_96</t>
  </si>
  <si>
    <t>EMP-97</t>
  </si>
  <si>
    <t>Employee_97</t>
  </si>
  <si>
    <t>EMP-98</t>
  </si>
  <si>
    <t>Employee_98</t>
  </si>
  <si>
    <t>EMP-99</t>
  </si>
  <si>
    <t>Employee_99</t>
  </si>
  <si>
    <t>EMP-100</t>
  </si>
  <si>
    <t>Employee_100</t>
  </si>
  <si>
    <t>ProductID</t>
  </si>
  <si>
    <t>ProductName</t>
  </si>
  <si>
    <t>CostPrice</t>
  </si>
  <si>
    <t>P001</t>
  </si>
  <si>
    <t>P002</t>
  </si>
  <si>
    <t>P003</t>
  </si>
  <si>
    <t>P004</t>
  </si>
  <si>
    <t>P005</t>
  </si>
  <si>
    <t>P006</t>
  </si>
  <si>
    <t>P007</t>
  </si>
  <si>
    <t>P008</t>
  </si>
  <si>
    <t>CustomerID</t>
  </si>
  <si>
    <t>CustomerName</t>
  </si>
  <si>
    <t>CustomerType</t>
  </si>
  <si>
    <t>CUST-0001</t>
  </si>
  <si>
    <t>Customer_1</t>
  </si>
  <si>
    <t>Online</t>
  </si>
  <si>
    <t>CUST-0002</t>
  </si>
  <si>
    <t>Customer_2</t>
  </si>
  <si>
    <t>Wholesale</t>
  </si>
  <si>
    <t>CUST-0003</t>
  </si>
  <si>
    <t>Customer_3</t>
  </si>
  <si>
    <t>CUST-0004</t>
  </si>
  <si>
    <t>Customer_4</t>
  </si>
  <si>
    <t>Retail</t>
  </si>
  <si>
    <t>CUST-0005</t>
  </si>
  <si>
    <t>Customer_5</t>
  </si>
  <si>
    <t>CUST-0006</t>
  </si>
  <si>
    <t>Customer_6</t>
  </si>
  <si>
    <t>CUST-0007</t>
  </si>
  <si>
    <t>Customer_7</t>
  </si>
  <si>
    <t>CUST-0008</t>
  </si>
  <si>
    <t>Customer_8</t>
  </si>
  <si>
    <t>CUST-0009</t>
  </si>
  <si>
    <t>Customer_9</t>
  </si>
  <si>
    <t>CUST-0010</t>
  </si>
  <si>
    <t>Customer_10</t>
  </si>
  <si>
    <t>CUST-0011</t>
  </si>
  <si>
    <t>Customer_11</t>
  </si>
  <si>
    <t>CUST-0012</t>
  </si>
  <si>
    <t>Customer_12</t>
  </si>
  <si>
    <t>CUST-0013</t>
  </si>
  <si>
    <t>Customer_13</t>
  </si>
  <si>
    <t>CUST-0014</t>
  </si>
  <si>
    <t>Customer_14</t>
  </si>
  <si>
    <t>CUST-0015</t>
  </si>
  <si>
    <t>Customer_15</t>
  </si>
  <si>
    <t>CUST-0016</t>
  </si>
  <si>
    <t>Customer_16</t>
  </si>
  <si>
    <t>CUST-0017</t>
  </si>
  <si>
    <t>Customer_17</t>
  </si>
  <si>
    <t>CUST-0018</t>
  </si>
  <si>
    <t>Customer_18</t>
  </si>
  <si>
    <t>CUST-0019</t>
  </si>
  <si>
    <t>Customer_19</t>
  </si>
  <si>
    <t>CUST-0020</t>
  </si>
  <si>
    <t>Customer_20</t>
  </si>
  <si>
    <t>CUST-0021</t>
  </si>
  <si>
    <t>Customer_21</t>
  </si>
  <si>
    <t>CUST-0022</t>
  </si>
  <si>
    <t>Customer_22</t>
  </si>
  <si>
    <t>CUST-0023</t>
  </si>
  <si>
    <t>Customer_23</t>
  </si>
  <si>
    <t>CUST-0024</t>
  </si>
  <si>
    <t>Customer_24</t>
  </si>
  <si>
    <t>CUST-0025</t>
  </si>
  <si>
    <t>Customer_25</t>
  </si>
  <si>
    <t>CUST-0026</t>
  </si>
  <si>
    <t>Customer_26</t>
  </si>
  <si>
    <t>CUST-0027</t>
  </si>
  <si>
    <t>Customer_27</t>
  </si>
  <si>
    <t>CUST-0028</t>
  </si>
  <si>
    <t>Customer_28</t>
  </si>
  <si>
    <t>CUST-0029</t>
  </si>
  <si>
    <t>Customer_29</t>
  </si>
  <si>
    <t>CUST-0030</t>
  </si>
  <si>
    <t>Customer_30</t>
  </si>
  <si>
    <t>CUST-0031</t>
  </si>
  <si>
    <t>Customer_31</t>
  </si>
  <si>
    <t>CUST-0032</t>
  </si>
  <si>
    <t>Customer_32</t>
  </si>
  <si>
    <t>CUST-0033</t>
  </si>
  <si>
    <t>Customer_33</t>
  </si>
  <si>
    <t>CUST-0034</t>
  </si>
  <si>
    <t>Customer_34</t>
  </si>
  <si>
    <t>CUST-0035</t>
  </si>
  <si>
    <t>Customer_35</t>
  </si>
  <si>
    <t>CUST-0036</t>
  </si>
  <si>
    <t>Customer_36</t>
  </si>
  <si>
    <t>CUST-0037</t>
  </si>
  <si>
    <t>Customer_37</t>
  </si>
  <si>
    <t>CUST-0038</t>
  </si>
  <si>
    <t>Customer_38</t>
  </si>
  <si>
    <t>CUST-0039</t>
  </si>
  <si>
    <t>Customer_39</t>
  </si>
  <si>
    <t>CUST-0040</t>
  </si>
  <si>
    <t>Customer_40</t>
  </si>
  <si>
    <t>CUST-0041</t>
  </si>
  <si>
    <t>Customer_41</t>
  </si>
  <si>
    <t>CUST-0042</t>
  </si>
  <si>
    <t>Customer_42</t>
  </si>
  <si>
    <t>CUST-0043</t>
  </si>
  <si>
    <t>Customer_43</t>
  </si>
  <si>
    <t>CUST-0044</t>
  </si>
  <si>
    <t>Customer_44</t>
  </si>
  <si>
    <t>CUST-0045</t>
  </si>
  <si>
    <t>Customer_45</t>
  </si>
  <si>
    <t>CUST-0046</t>
  </si>
  <si>
    <t>Customer_46</t>
  </si>
  <si>
    <t>CUST-0047</t>
  </si>
  <si>
    <t>Customer_47</t>
  </si>
  <si>
    <t>CUST-0048</t>
  </si>
  <si>
    <t>Customer_48</t>
  </si>
  <si>
    <t>CUST-0049</t>
  </si>
  <si>
    <t>Customer_49</t>
  </si>
  <si>
    <t>CUST-0050</t>
  </si>
  <si>
    <t>Customer_50</t>
  </si>
  <si>
    <t>CUST-0051</t>
  </si>
  <si>
    <t>Customer_51</t>
  </si>
  <si>
    <t>CUST-0052</t>
  </si>
  <si>
    <t>Customer_52</t>
  </si>
  <si>
    <t>CUST-0053</t>
  </si>
  <si>
    <t>Customer_53</t>
  </si>
  <si>
    <t>CUST-0054</t>
  </si>
  <si>
    <t>Customer_54</t>
  </si>
  <si>
    <t>CUST-0055</t>
  </si>
  <si>
    <t>Customer_55</t>
  </si>
  <si>
    <t>CUST-0056</t>
  </si>
  <si>
    <t>Customer_56</t>
  </si>
  <si>
    <t>CUST-0057</t>
  </si>
  <si>
    <t>Customer_57</t>
  </si>
  <si>
    <t>CUST-0058</t>
  </si>
  <si>
    <t>Customer_58</t>
  </si>
  <si>
    <t>CUST-0059</t>
  </si>
  <si>
    <t>Customer_59</t>
  </si>
  <si>
    <t>CUST-0060</t>
  </si>
  <si>
    <t>Customer_60</t>
  </si>
  <si>
    <t>CUST-0061</t>
  </si>
  <si>
    <t>Customer_61</t>
  </si>
  <si>
    <t>CUST-0062</t>
  </si>
  <si>
    <t>Customer_62</t>
  </si>
  <si>
    <t>CUST-0063</t>
  </si>
  <si>
    <t>Customer_63</t>
  </si>
  <si>
    <t>CUST-0064</t>
  </si>
  <si>
    <t>Customer_64</t>
  </si>
  <si>
    <t>CUST-0065</t>
  </si>
  <si>
    <t>Customer_65</t>
  </si>
  <si>
    <t>CUST-0066</t>
  </si>
  <si>
    <t>Customer_66</t>
  </si>
  <si>
    <t>CUST-0067</t>
  </si>
  <si>
    <t>Customer_67</t>
  </si>
  <si>
    <t>CUST-0068</t>
  </si>
  <si>
    <t>Customer_68</t>
  </si>
  <si>
    <t>CUST-0069</t>
  </si>
  <si>
    <t>Customer_69</t>
  </si>
  <si>
    <t>CUST-0070</t>
  </si>
  <si>
    <t>Customer_70</t>
  </si>
  <si>
    <t>CUST-0071</t>
  </si>
  <si>
    <t>Customer_71</t>
  </si>
  <si>
    <t>CUST-0072</t>
  </si>
  <si>
    <t>Customer_72</t>
  </si>
  <si>
    <t>CUST-0073</t>
  </si>
  <si>
    <t>Customer_73</t>
  </si>
  <si>
    <t>CUST-0074</t>
  </si>
  <si>
    <t>Customer_74</t>
  </si>
  <si>
    <t>CUST-0075</t>
  </si>
  <si>
    <t>Customer_75</t>
  </si>
  <si>
    <t>CUST-0076</t>
  </si>
  <si>
    <t>Customer_76</t>
  </si>
  <si>
    <t>CUST-0077</t>
  </si>
  <si>
    <t>Customer_77</t>
  </si>
  <si>
    <t>CUST-0078</t>
  </si>
  <si>
    <t>Customer_78</t>
  </si>
  <si>
    <t>CUST-0079</t>
  </si>
  <si>
    <t>Customer_79</t>
  </si>
  <si>
    <t>CUST-0080</t>
  </si>
  <si>
    <t>Customer_80</t>
  </si>
  <si>
    <t>CUST-0081</t>
  </si>
  <si>
    <t>Customer_81</t>
  </si>
  <si>
    <t>CUST-0082</t>
  </si>
  <si>
    <t>Customer_82</t>
  </si>
  <si>
    <t>CUST-0083</t>
  </si>
  <si>
    <t>Customer_83</t>
  </si>
  <si>
    <t>CUST-0084</t>
  </si>
  <si>
    <t>Customer_84</t>
  </si>
  <si>
    <t>CUST-0085</t>
  </si>
  <si>
    <t>Customer_85</t>
  </si>
  <si>
    <t>CUST-0086</t>
  </si>
  <si>
    <t>Customer_86</t>
  </si>
  <si>
    <t>CUST-0087</t>
  </si>
  <si>
    <t>Customer_87</t>
  </si>
  <si>
    <t>CUST-0088</t>
  </si>
  <si>
    <t>Customer_88</t>
  </si>
  <si>
    <t>CUST-0089</t>
  </si>
  <si>
    <t>Customer_89</t>
  </si>
  <si>
    <t>CUST-0090</t>
  </si>
  <si>
    <t>Customer_90</t>
  </si>
  <si>
    <t>CUST-0091</t>
  </si>
  <si>
    <t>Customer_91</t>
  </si>
  <si>
    <t>CUST-0092</t>
  </si>
  <si>
    <t>Customer_92</t>
  </si>
  <si>
    <t>CUST-0093</t>
  </si>
  <si>
    <t>Customer_93</t>
  </si>
  <si>
    <t>CUST-0094</t>
  </si>
  <si>
    <t>Customer_94</t>
  </si>
  <si>
    <t>CUST-0095</t>
  </si>
  <si>
    <t>Customer_95</t>
  </si>
  <si>
    <t>CUST-0096</t>
  </si>
  <si>
    <t>Customer_96</t>
  </si>
  <si>
    <t>CUST-0097</t>
  </si>
  <si>
    <t>Customer_97</t>
  </si>
  <si>
    <t>CUST-0098</t>
  </si>
  <si>
    <t>Customer_98</t>
  </si>
  <si>
    <t>CUST-0099</t>
  </si>
  <si>
    <t>Customer_99</t>
  </si>
  <si>
    <t>CUST-0100</t>
  </si>
  <si>
    <t>Customer_100</t>
  </si>
  <si>
    <t>CUST-0101</t>
  </si>
  <si>
    <t>Customer_101</t>
  </si>
  <si>
    <t>CUST-0102</t>
  </si>
  <si>
    <t>Customer_102</t>
  </si>
  <si>
    <t>CUST-0103</t>
  </si>
  <si>
    <t>Customer_103</t>
  </si>
  <si>
    <t>CUST-0104</t>
  </si>
  <si>
    <t>Customer_104</t>
  </si>
  <si>
    <t>CUST-0105</t>
  </si>
  <si>
    <t>Customer_105</t>
  </si>
  <si>
    <t>CUST-0106</t>
  </si>
  <si>
    <t>Customer_106</t>
  </si>
  <si>
    <t>CUST-0107</t>
  </si>
  <si>
    <t>Customer_107</t>
  </si>
  <si>
    <t>CUST-0108</t>
  </si>
  <si>
    <t>Customer_108</t>
  </si>
  <si>
    <t>CUST-0109</t>
  </si>
  <si>
    <t>Customer_109</t>
  </si>
  <si>
    <t>CUST-0110</t>
  </si>
  <si>
    <t>Customer_110</t>
  </si>
  <si>
    <t>CUST-0111</t>
  </si>
  <si>
    <t>Customer_111</t>
  </si>
  <si>
    <t>CUST-0112</t>
  </si>
  <si>
    <t>Customer_112</t>
  </si>
  <si>
    <t>CUST-0113</t>
  </si>
  <si>
    <t>Customer_113</t>
  </si>
  <si>
    <t>CUST-0114</t>
  </si>
  <si>
    <t>Customer_114</t>
  </si>
  <si>
    <t>CUST-0115</t>
  </si>
  <si>
    <t>Customer_115</t>
  </si>
  <si>
    <t>CUST-0116</t>
  </si>
  <si>
    <t>Customer_116</t>
  </si>
  <si>
    <t>CUST-0117</t>
  </si>
  <si>
    <t>Customer_117</t>
  </si>
  <si>
    <t>CUST-0118</t>
  </si>
  <si>
    <t>Customer_118</t>
  </si>
  <si>
    <t>CUST-0119</t>
  </si>
  <si>
    <t>Customer_119</t>
  </si>
  <si>
    <t>CUST-0120</t>
  </si>
  <si>
    <t>Customer_120</t>
  </si>
  <si>
    <t>CUST-0121</t>
  </si>
  <si>
    <t>Customer_121</t>
  </si>
  <si>
    <t>CUST-0122</t>
  </si>
  <si>
    <t>Customer_122</t>
  </si>
  <si>
    <t>CUST-0123</t>
  </si>
  <si>
    <t>Customer_123</t>
  </si>
  <si>
    <t>CUST-0124</t>
  </si>
  <si>
    <t>Customer_124</t>
  </si>
  <si>
    <t>CUST-0125</t>
  </si>
  <si>
    <t>Customer_125</t>
  </si>
  <si>
    <t>CUST-0126</t>
  </si>
  <si>
    <t>Customer_126</t>
  </si>
  <si>
    <t>CUST-0127</t>
  </si>
  <si>
    <t>Customer_127</t>
  </si>
  <si>
    <t>CUST-0128</t>
  </si>
  <si>
    <t>Customer_128</t>
  </si>
  <si>
    <t>CUST-0129</t>
  </si>
  <si>
    <t>Customer_129</t>
  </si>
  <si>
    <t>CUST-0130</t>
  </si>
  <si>
    <t>Customer_130</t>
  </si>
  <si>
    <t>CUST-0131</t>
  </si>
  <si>
    <t>Customer_131</t>
  </si>
  <si>
    <t>CUST-0132</t>
  </si>
  <si>
    <t>Customer_132</t>
  </si>
  <si>
    <t>CUST-0133</t>
  </si>
  <si>
    <t>Customer_133</t>
  </si>
  <si>
    <t>CUST-0134</t>
  </si>
  <si>
    <t>Customer_134</t>
  </si>
  <si>
    <t>CUST-0135</t>
  </si>
  <si>
    <t>Customer_135</t>
  </si>
  <si>
    <t>CUST-0136</t>
  </si>
  <si>
    <t>Customer_136</t>
  </si>
  <si>
    <t>CUST-0137</t>
  </si>
  <si>
    <t>Customer_137</t>
  </si>
  <si>
    <t>CUST-0138</t>
  </si>
  <si>
    <t>Customer_138</t>
  </si>
  <si>
    <t>CUST-0139</t>
  </si>
  <si>
    <t>Customer_139</t>
  </si>
  <si>
    <t>CUST-0140</t>
  </si>
  <si>
    <t>Customer_140</t>
  </si>
  <si>
    <t>CUST-0141</t>
  </si>
  <si>
    <t>Customer_141</t>
  </si>
  <si>
    <t>CUST-0142</t>
  </si>
  <si>
    <t>Customer_142</t>
  </si>
  <si>
    <t>CUST-0143</t>
  </si>
  <si>
    <t>Customer_143</t>
  </si>
  <si>
    <t>CUST-0144</t>
  </si>
  <si>
    <t>Customer_144</t>
  </si>
  <si>
    <t>CUST-0145</t>
  </si>
  <si>
    <t>Customer_145</t>
  </si>
  <si>
    <t>CUST-0146</t>
  </si>
  <si>
    <t>Customer_146</t>
  </si>
  <si>
    <t>CUST-0147</t>
  </si>
  <si>
    <t>Customer_147</t>
  </si>
  <si>
    <t>CUST-0148</t>
  </si>
  <si>
    <t>Customer_148</t>
  </si>
  <si>
    <t>CUST-0149</t>
  </si>
  <si>
    <t>Customer_149</t>
  </si>
  <si>
    <t>CUST-0150</t>
  </si>
  <si>
    <t>Customer_150</t>
  </si>
  <si>
    <t>CUST-0151</t>
  </si>
  <si>
    <t>Customer_151</t>
  </si>
  <si>
    <t>CUST-0152</t>
  </si>
  <si>
    <t>Customer_152</t>
  </si>
  <si>
    <t>CUST-0153</t>
  </si>
  <si>
    <t>Customer_153</t>
  </si>
  <si>
    <t>CUST-0154</t>
  </si>
  <si>
    <t>Customer_154</t>
  </si>
  <si>
    <t>CUST-0155</t>
  </si>
  <si>
    <t>Customer_155</t>
  </si>
  <si>
    <t>CUST-0156</t>
  </si>
  <si>
    <t>Customer_156</t>
  </si>
  <si>
    <t>CUST-0157</t>
  </si>
  <si>
    <t>Customer_157</t>
  </si>
  <si>
    <t>CUST-0158</t>
  </si>
  <si>
    <t>Customer_158</t>
  </si>
  <si>
    <t>CUST-0159</t>
  </si>
  <si>
    <t>Customer_159</t>
  </si>
  <si>
    <t>CUST-0160</t>
  </si>
  <si>
    <t>Customer_160</t>
  </si>
  <si>
    <t>CUST-0161</t>
  </si>
  <si>
    <t>Customer_161</t>
  </si>
  <si>
    <t>CUST-0162</t>
  </si>
  <si>
    <t>Customer_162</t>
  </si>
  <si>
    <t>CUST-0163</t>
  </si>
  <si>
    <t>Customer_163</t>
  </si>
  <si>
    <t>CUST-0164</t>
  </si>
  <si>
    <t>Customer_164</t>
  </si>
  <si>
    <t>CUST-0165</t>
  </si>
  <si>
    <t>Customer_165</t>
  </si>
  <si>
    <t>CUST-0166</t>
  </si>
  <si>
    <t>Customer_166</t>
  </si>
  <si>
    <t>CUST-0167</t>
  </si>
  <si>
    <t>Customer_167</t>
  </si>
  <si>
    <t>CUST-0168</t>
  </si>
  <si>
    <t>Customer_168</t>
  </si>
  <si>
    <t>CUST-0169</t>
  </si>
  <si>
    <t>Customer_169</t>
  </si>
  <si>
    <t>CUST-0170</t>
  </si>
  <si>
    <t>Customer_170</t>
  </si>
  <si>
    <t>CUST-0171</t>
  </si>
  <si>
    <t>Customer_171</t>
  </si>
  <si>
    <t>CUST-0172</t>
  </si>
  <si>
    <t>Customer_172</t>
  </si>
  <si>
    <t>CUST-0173</t>
  </si>
  <si>
    <t>Customer_173</t>
  </si>
  <si>
    <t>CUST-0174</t>
  </si>
  <si>
    <t>Customer_174</t>
  </si>
  <si>
    <t>CUST-0175</t>
  </si>
  <si>
    <t>Customer_175</t>
  </si>
  <si>
    <t>CUST-0176</t>
  </si>
  <si>
    <t>Customer_176</t>
  </si>
  <si>
    <t>CUST-0177</t>
  </si>
  <si>
    <t>Customer_177</t>
  </si>
  <si>
    <t>CUST-0178</t>
  </si>
  <si>
    <t>Customer_178</t>
  </si>
  <si>
    <t>CUST-0179</t>
  </si>
  <si>
    <t>Customer_179</t>
  </si>
  <si>
    <t>CUST-0180</t>
  </si>
  <si>
    <t>Customer_180</t>
  </si>
  <si>
    <t>CUST-0181</t>
  </si>
  <si>
    <t>Customer_181</t>
  </si>
  <si>
    <t>CUST-0182</t>
  </si>
  <si>
    <t>Customer_182</t>
  </si>
  <si>
    <t>CUST-0183</t>
  </si>
  <si>
    <t>Customer_183</t>
  </si>
  <si>
    <t>CUST-0184</t>
  </si>
  <si>
    <t>Customer_184</t>
  </si>
  <si>
    <t>CUST-0185</t>
  </si>
  <si>
    <t>Customer_185</t>
  </si>
  <si>
    <t>CUST-0186</t>
  </si>
  <si>
    <t>Customer_186</t>
  </si>
  <si>
    <t>CUST-0187</t>
  </si>
  <si>
    <t>Customer_187</t>
  </si>
  <si>
    <t>CUST-0188</t>
  </si>
  <si>
    <t>Customer_188</t>
  </si>
  <si>
    <t>CUST-0189</t>
  </si>
  <si>
    <t>Customer_189</t>
  </si>
  <si>
    <t>CUST-0190</t>
  </si>
  <si>
    <t>Customer_190</t>
  </si>
  <si>
    <t>CUST-0191</t>
  </si>
  <si>
    <t>Customer_191</t>
  </si>
  <si>
    <t>CUST-0192</t>
  </si>
  <si>
    <t>Customer_192</t>
  </si>
  <si>
    <t>CUST-0193</t>
  </si>
  <si>
    <t>Customer_193</t>
  </si>
  <si>
    <t>CUST-0194</t>
  </si>
  <si>
    <t>Customer_194</t>
  </si>
  <si>
    <t>CUST-0195</t>
  </si>
  <si>
    <t>Customer_195</t>
  </si>
  <si>
    <t>CUST-0196</t>
  </si>
  <si>
    <t>Customer_196</t>
  </si>
  <si>
    <t>CUST-0197</t>
  </si>
  <si>
    <t>Customer_197</t>
  </si>
  <si>
    <t>CUST-0198</t>
  </si>
  <si>
    <t>Customer_198</t>
  </si>
  <si>
    <t>CUST-0199</t>
  </si>
  <si>
    <t>Customer_199</t>
  </si>
  <si>
    <t>CUST-0200</t>
  </si>
  <si>
    <t>Customer_200</t>
  </si>
  <si>
    <t>Discount category</t>
  </si>
  <si>
    <t>Month name</t>
  </si>
  <si>
    <t>Year</t>
  </si>
  <si>
    <t>Experience</t>
  </si>
  <si>
    <t>Cost price</t>
  </si>
  <si>
    <t>Profit</t>
  </si>
  <si>
    <t>Departmnt Names</t>
  </si>
  <si>
    <t>Employee Count</t>
  </si>
  <si>
    <t>AVRG sallery</t>
  </si>
  <si>
    <t>Row Labels</t>
  </si>
  <si>
    <t>Grand Total</t>
  </si>
  <si>
    <t>Sum of FinalPrice</t>
  </si>
  <si>
    <t>January</t>
  </si>
  <si>
    <t>February</t>
  </si>
  <si>
    <t>March</t>
  </si>
  <si>
    <t>April</t>
  </si>
  <si>
    <t>May</t>
  </si>
  <si>
    <t>June</t>
  </si>
  <si>
    <t>July</t>
  </si>
  <si>
    <t>August</t>
  </si>
  <si>
    <t>September</t>
  </si>
  <si>
    <t>October</t>
  </si>
  <si>
    <t>November</t>
  </si>
  <si>
    <t>December</t>
  </si>
  <si>
    <t>Total Sales</t>
  </si>
  <si>
    <t>Total Profit</t>
  </si>
  <si>
    <t>Total Quantity</t>
  </si>
  <si>
    <t>Total Order</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</si>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</sst>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yyyy\-mm\-dd\ hh:mm:ss"/>
    <numFmt numFmtId="165" formatCode="_-* #,##0_-;\-* #,##0_-;_-* &quot;-&quot;??_-;_-@_-"/>
  </numFmts>
  <fonts count="4"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0" borderId="2" xfId="0" applyNumberFormat="1" applyFont="1" applyFill="1" applyBorder="1" applyAlignment="1">
      <alignment horizontal="center" vertical="top"/>
    </xf>
    <xf numFmtId="0" fontId="0" fillId="0" borderId="0" xfId="0" applyNumberFormat="1"/>
    <xf numFmtId="0" fontId="2" fillId="0" borderId="0" xfId="0" applyFont="1"/>
    <xf numFmtId="0" fontId="1" fillId="0" borderId="3" xfId="0" applyNumberFormat="1" applyFont="1" applyFill="1" applyBorder="1" applyAlignment="1">
      <alignment horizontal="center" vertical="top"/>
    </xf>
    <xf numFmtId="0" fontId="0" fillId="0" borderId="0" xfId="0" applyFill="1" applyBorder="1"/>
    <xf numFmtId="165"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1" xfId="0" applyNumberFormat="1" applyFont="1" applyBorder="1" applyAlignment="1">
      <alignment horizontal="center" vertical="top"/>
    </xf>
    <xf numFmtId="0" fontId="0" fillId="2" borderId="0" xfId="0" applyFill="1"/>
    <xf numFmtId="0" fontId="0" fillId="3" borderId="0" xfId="0" applyFill="1"/>
    <xf numFmtId="0" fontId="1" fillId="0" borderId="2" xfId="2" applyNumberFormat="1" applyFont="1" applyFill="1" applyBorder="1" applyAlignment="1">
      <alignment horizontal="center" vertical="top"/>
    </xf>
    <xf numFmtId="0" fontId="0" fillId="0" borderId="0" xfId="2" applyNumberFormat="1" applyFont="1"/>
  </cellXfs>
  <cellStyles count="3">
    <cellStyle name="Comma" xfId="1" builtinId="3"/>
    <cellStyle name="Normal" xfId="0" builtinId="0"/>
    <cellStyle name="Per cent" xfId="2" builtinId="5"/>
  </cellStyles>
  <dxfs count="3">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2" defaultTableStyle="TableStyleMedium9" defaultPivotStyle="PivotStyleLight16">
    <tableStyle name="Slicer Style 1" pivot="0" table="0" count="2" xr9:uid="{052A0828-1094-4C94-9A2C-970613CD3A48}"/>
    <tableStyle name="Slicer Style 2" pivot="0" table="0" count="2" xr9:uid="{25685CFF-187B-427F-BFAD-70F74DADD72E}"/>
  </tableStyles>
  <extLst>
    <ext xmlns:x14="http://schemas.microsoft.com/office/spreadsheetml/2009/9/main" uri="{46F421CA-312F-682f-3DD2-61675219B42D}">
      <x14:dxfs count="4">
        <dxf>
          <fill>
            <patternFill>
              <bgColor theme="0" tint="-0.14996795556505021"/>
            </patternFill>
          </fill>
        </dxf>
        <dxf>
          <fill>
            <patternFill>
              <bgColor theme="6" tint="0.39994506668294322"/>
            </patternFill>
          </fill>
        </dxf>
        <dxf>
          <fill>
            <patternFill>
              <bgColor theme="6" tint="0.39994506668294322"/>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unselectedItemWithData" dxfId="0"/>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[Excel-PowerBI-Practice-Data dashboard.xlsx]Pivot tables!PivotTable4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77872418888427"/>
          <c:y val="0.12941176470588237"/>
          <c:w val="0.7692907620581293"/>
          <c:h val="0.87058823529411766"/>
        </c:manualLayout>
      </c:layout>
      <c:barChart>
        <c:barDir val="bar"/>
        <c:grouping val="clustered"/>
        <c:varyColors val="0"/>
        <c:ser>
          <c:idx val="0"/>
          <c:order val="0"/>
          <c:tx>
            <c:strRef>
              <c:f>'Pivot tables'!$H$3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tables'!$G$4:$G$10</c:f>
              <c:strCache>
                <c:ptCount val="6"/>
                <c:pt idx="0">
                  <c:v>Faisalabad</c:v>
                </c:pt>
                <c:pt idx="1">
                  <c:v>Islamabad</c:v>
                </c:pt>
                <c:pt idx="2">
                  <c:v>Karachi</c:v>
                </c:pt>
                <c:pt idx="3">
                  <c:v>Lahore</c:v>
                </c:pt>
                <c:pt idx="4">
                  <c:v>Multan</c:v>
                </c:pt>
                <c:pt idx="5">
                  <c:v>Peshawar</c:v>
                </c:pt>
              </c:strCache>
            </c:strRef>
          </c:cat>
          <c:val>
            <c:numRef>
              <c:f>'Pivot tables'!$H$4:$H$10</c:f>
              <c:numCache>
                <c:formatCode>General</c:formatCode>
                <c:ptCount val="6"/>
                <c:pt idx="0">
                  <c:v>16109775</c:v>
                </c:pt>
                <c:pt idx="1">
                  <c:v>10997300</c:v>
                </c:pt>
                <c:pt idx="2">
                  <c:v>16120625</c:v>
                </c:pt>
                <c:pt idx="3">
                  <c:v>13704875</c:v>
                </c:pt>
                <c:pt idx="4">
                  <c:v>19777400</c:v>
                </c:pt>
                <c:pt idx="5">
                  <c:v>17526700</c:v>
                </c:pt>
              </c:numCache>
            </c:numRef>
          </c:val>
          <c:extLst>
            <c:ext xmlns:c16="http://schemas.microsoft.com/office/drawing/2014/chart" uri="{C3380CC4-5D6E-409C-BE32-E72D297353CC}">
              <c16:uniqueId val="{00000000-6FC1-4950-A3A4-31678D203722}"/>
            </c:ext>
          </c:extLst>
        </c:ser>
        <c:dLbls>
          <c:dLblPos val="outEnd"/>
          <c:showLegendKey val="0"/>
          <c:showVal val="1"/>
          <c:showCatName val="0"/>
          <c:showSerName val="0"/>
          <c:showPercent val="0"/>
          <c:showBubbleSize val="0"/>
        </c:dLbls>
        <c:gapWidth val="115"/>
        <c:overlap val="-20"/>
        <c:axId val="804771327"/>
        <c:axId val="804771807"/>
      </c:barChart>
      <c:catAx>
        <c:axId val="80477132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804771807"/>
        <c:crosses val="autoZero"/>
        <c:auto val="1"/>
        <c:lblAlgn val="ctr"/>
        <c:lblOffset val="100"/>
        <c:noMultiLvlLbl val="0"/>
      </c:catAx>
      <c:valAx>
        <c:axId val="804771807"/>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crossAx val="80477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noFill/>
    </a:ln>
    <a:effectLst/>
  </c:spPr>
  <c:txPr>
    <a:bodyPr/>
    <a:lstStyle/>
    <a:p>
      <a:pPr>
        <a:defRPr>
          <a:solidFill>
            <a:schemeClr val="tx1"/>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[Excel-PowerBI-Practice-Data dashboard.xlsx]Pivot tables!month-wise-sales-trend</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61955484994491"/>
          <c:y val="6.4024036494433625E-2"/>
          <c:w val="0.81389656045540537"/>
          <c:h val="0.66081636022204338"/>
        </c:manualLayout>
      </c:layout>
      <c:lineChart>
        <c:grouping val="standard"/>
        <c:varyColors val="0"/>
        <c:ser>
          <c:idx val="0"/>
          <c:order val="0"/>
          <c:tx>
            <c:strRef>
              <c:f>'Pivot tables'!$D$3</c:f>
              <c:strCache>
                <c:ptCount val="1"/>
                <c:pt idx="0">
                  <c:v>Total</c:v>
                </c:pt>
              </c:strCache>
            </c:strRef>
          </c:tx>
          <c:spPr>
            <a:ln w="28575" cap="rnd">
              <a:solidFill>
                <a:schemeClr val="accent1"/>
              </a:solidFill>
              <a:round/>
            </a:ln>
            <a:effectLst/>
          </c:spPr>
          <c:marker>
            <c:symbol val="none"/>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tables'!$D$4:$D$16</c:f>
              <c:numCache>
                <c:formatCode>General</c:formatCode>
                <c:ptCount val="12"/>
                <c:pt idx="0">
                  <c:v>9020225</c:v>
                </c:pt>
                <c:pt idx="1">
                  <c:v>9395325</c:v>
                </c:pt>
                <c:pt idx="2">
                  <c:v>14801725</c:v>
                </c:pt>
                <c:pt idx="3">
                  <c:v>11302975</c:v>
                </c:pt>
                <c:pt idx="4">
                  <c:v>11194575</c:v>
                </c:pt>
                <c:pt idx="5">
                  <c:v>10377225</c:v>
                </c:pt>
                <c:pt idx="6">
                  <c:v>2800375</c:v>
                </c:pt>
                <c:pt idx="7">
                  <c:v>7226350</c:v>
                </c:pt>
                <c:pt idx="8">
                  <c:v>5568050</c:v>
                </c:pt>
                <c:pt idx="9">
                  <c:v>4330875</c:v>
                </c:pt>
                <c:pt idx="10">
                  <c:v>5504100</c:v>
                </c:pt>
                <c:pt idx="11">
                  <c:v>2714875</c:v>
                </c:pt>
              </c:numCache>
            </c:numRef>
          </c:val>
          <c:smooth val="0"/>
          <c:extLst>
            <c:ext xmlns:c16="http://schemas.microsoft.com/office/drawing/2014/chart" uri="{C3380CC4-5D6E-409C-BE32-E72D297353CC}">
              <c16:uniqueId val="{00000000-C922-4988-87B4-AA4A0E4B6E90}"/>
            </c:ext>
          </c:extLst>
        </c:ser>
        <c:dLbls>
          <c:showLegendKey val="0"/>
          <c:showVal val="0"/>
          <c:showCatName val="0"/>
          <c:showSerName val="0"/>
          <c:showPercent val="0"/>
          <c:showBubbleSize val="0"/>
        </c:dLbls>
        <c:smooth val="0"/>
        <c:axId val="804832191"/>
        <c:axId val="804834111"/>
      </c:lineChart>
      <c:catAx>
        <c:axId val="804832191"/>
        <c:scaling>
          <c:orientation val="minMax"/>
        </c:scaling>
        <c:delete val="0"/>
        <c:axPos val="b"/>
        <c:numFmt formatCode="#,##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804834111"/>
        <c:crosses val="autoZero"/>
        <c:auto val="1"/>
        <c:lblAlgn val="ctr"/>
        <c:lblOffset val="100"/>
        <c:noMultiLvlLbl val="0"/>
      </c:catAx>
      <c:valAx>
        <c:axId val="804834111"/>
        <c:scaling>
          <c:orientation val="minMax"/>
        </c:scaling>
        <c:delete val="0"/>
        <c:axPos val="l"/>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80483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197983</xdr:colOff>
      <xdr:row>13</xdr:row>
      <xdr:rowOff>37380</xdr:rowOff>
    </xdr:from>
    <xdr:to>
      <xdr:col>7</xdr:col>
      <xdr:colOff>396420</xdr:colOff>
      <xdr:row>25</xdr:row>
      <xdr:rowOff>127001</xdr:rowOff>
    </xdr:to>
    <xdr:grpSp>
      <xdr:nvGrpSpPr>
        <xdr:cNvPr id="12" name="Group 11">
          <a:extLst>
            <a:ext uri="{FF2B5EF4-FFF2-40B4-BE49-F238E27FC236}">
              <a16:creationId xmlns:a16="http://schemas.microsoft.com/office/drawing/2014/main" id="{BDF0E3A6-0C47-5CE7-40AA-EBF326054705}"/>
            </a:ext>
          </a:extLst>
        </xdr:cNvPr>
        <xdr:cNvGrpSpPr/>
      </xdr:nvGrpSpPr>
      <xdr:grpSpPr>
        <a:xfrm>
          <a:off x="197983" y="2395951"/>
          <a:ext cx="4452937" cy="2266764"/>
          <a:chOff x="101600" y="1250684"/>
          <a:chExt cx="4476750" cy="2281504"/>
        </a:xfrm>
      </xdr:grpSpPr>
      <xdr:sp macro="" textlink="">
        <xdr:nvSpPr>
          <xdr:cNvPr id="5" name="Rectangle: Rounded Corners 4">
            <a:extLst>
              <a:ext uri="{FF2B5EF4-FFF2-40B4-BE49-F238E27FC236}">
                <a16:creationId xmlns:a16="http://schemas.microsoft.com/office/drawing/2014/main" id="{2FAF1E6D-9F3C-7ED5-8DE6-C06D3D507625}"/>
              </a:ext>
            </a:extLst>
          </xdr:cNvPr>
          <xdr:cNvSpPr/>
        </xdr:nvSpPr>
        <xdr:spPr>
          <a:xfrm>
            <a:off x="101600" y="1250684"/>
            <a:ext cx="4476750" cy="2281504"/>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2" name="Chart 1">
            <a:extLst>
              <a:ext uri="{FF2B5EF4-FFF2-40B4-BE49-F238E27FC236}">
                <a16:creationId xmlns:a16="http://schemas.microsoft.com/office/drawing/2014/main" id="{B05B1D1F-8478-4E58-A9E4-486F39078CDE}"/>
              </a:ext>
            </a:extLst>
          </xdr:cNvPr>
          <xdr:cNvGraphicFramePr>
            <a:graphicFrameLocks/>
          </xdr:cNvGraphicFramePr>
        </xdr:nvGraphicFramePr>
        <xdr:xfrm>
          <a:off x="574939" y="1366574"/>
          <a:ext cx="3549386" cy="214153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Rounded Corners 6">
            <a:extLst>
              <a:ext uri="{FF2B5EF4-FFF2-40B4-BE49-F238E27FC236}">
                <a16:creationId xmlns:a16="http://schemas.microsoft.com/office/drawing/2014/main" id="{564C20EA-C239-6D83-4DEE-7ED6FCC6DED9}"/>
              </a:ext>
            </a:extLst>
          </xdr:cNvPr>
          <xdr:cNvSpPr/>
        </xdr:nvSpPr>
        <xdr:spPr>
          <a:xfrm>
            <a:off x="1520297" y="1284288"/>
            <a:ext cx="1627453" cy="284692"/>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Region</a:t>
            </a:r>
            <a:r>
              <a:rPr lang="en-US" sz="1400" b="1" baseline="0">
                <a:solidFill>
                  <a:schemeClr val="bg1"/>
                </a:solidFill>
              </a:rPr>
              <a:t> Wise Chart</a:t>
            </a:r>
            <a:endParaRPr lang="en-PK" sz="1400" b="1">
              <a:solidFill>
                <a:schemeClr val="bg1"/>
              </a:solidFill>
            </a:endParaRPr>
          </a:p>
        </xdr:txBody>
      </xdr:sp>
    </xdr:grpSp>
    <xdr:clientData/>
  </xdr:twoCellAnchor>
  <xdr:twoCellAnchor>
    <xdr:from>
      <xdr:col>7</xdr:col>
      <xdr:colOff>462343</xdr:colOff>
      <xdr:row>13</xdr:row>
      <xdr:rowOff>6803</xdr:rowOff>
    </xdr:from>
    <xdr:to>
      <xdr:col>15</xdr:col>
      <xdr:colOff>386671</xdr:colOff>
      <xdr:row>25</xdr:row>
      <xdr:rowOff>140607</xdr:rowOff>
    </xdr:to>
    <xdr:grpSp>
      <xdr:nvGrpSpPr>
        <xdr:cNvPr id="14" name="Group 13">
          <a:extLst>
            <a:ext uri="{FF2B5EF4-FFF2-40B4-BE49-F238E27FC236}">
              <a16:creationId xmlns:a16="http://schemas.microsoft.com/office/drawing/2014/main" id="{1E9A24C9-8B66-7826-22E0-4286B3425311}"/>
            </a:ext>
          </a:extLst>
        </xdr:cNvPr>
        <xdr:cNvGrpSpPr/>
      </xdr:nvGrpSpPr>
      <xdr:grpSpPr>
        <a:xfrm>
          <a:off x="4716843" y="2365374"/>
          <a:ext cx="4786614" cy="2310947"/>
          <a:chOff x="4695299" y="2130776"/>
          <a:chExt cx="4813828" cy="2241993"/>
        </a:xfrm>
      </xdr:grpSpPr>
      <xdr:sp macro="" textlink="">
        <xdr:nvSpPr>
          <xdr:cNvPr id="6" name="Rectangle: Rounded Corners 5">
            <a:extLst>
              <a:ext uri="{FF2B5EF4-FFF2-40B4-BE49-F238E27FC236}">
                <a16:creationId xmlns:a16="http://schemas.microsoft.com/office/drawing/2014/main" id="{DFFA4F58-A3F7-48EE-943B-6D0C52E980FA}"/>
              </a:ext>
            </a:extLst>
          </xdr:cNvPr>
          <xdr:cNvSpPr/>
        </xdr:nvSpPr>
        <xdr:spPr>
          <a:xfrm>
            <a:off x="4695299" y="2130776"/>
            <a:ext cx="4813828" cy="2241993"/>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3" name="Chart 2">
            <a:extLst>
              <a:ext uri="{FF2B5EF4-FFF2-40B4-BE49-F238E27FC236}">
                <a16:creationId xmlns:a16="http://schemas.microsoft.com/office/drawing/2014/main" id="{2DBDC49A-98B8-460B-9A29-C7CCF222B981}"/>
              </a:ext>
            </a:extLst>
          </xdr:cNvPr>
          <xdr:cNvGraphicFramePr>
            <a:graphicFrameLocks/>
          </xdr:cNvGraphicFramePr>
        </xdr:nvGraphicFramePr>
        <xdr:xfrm>
          <a:off x="5065450" y="2448983"/>
          <a:ext cx="4062675" cy="190870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Rectangle: Rounded Corners 7">
            <a:extLst>
              <a:ext uri="{FF2B5EF4-FFF2-40B4-BE49-F238E27FC236}">
                <a16:creationId xmlns:a16="http://schemas.microsoft.com/office/drawing/2014/main" id="{794BF272-1976-4279-8EBA-283B5DE956FE}"/>
              </a:ext>
            </a:extLst>
          </xdr:cNvPr>
          <xdr:cNvSpPr/>
        </xdr:nvSpPr>
        <xdr:spPr>
          <a:xfrm>
            <a:off x="6634249" y="2156215"/>
            <a:ext cx="1381125" cy="302860"/>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Monthly Trend</a:t>
            </a:r>
            <a:endParaRPr lang="en-PK" sz="1400" b="1">
              <a:solidFill>
                <a:schemeClr val="bg1"/>
              </a:solidFill>
            </a:endParaRPr>
          </a:p>
        </xdr:txBody>
      </xdr:sp>
    </xdr:grpSp>
    <xdr:clientData/>
  </xdr:twoCellAnchor>
  <xdr:twoCellAnchor editAs="oneCell">
    <xdr:from>
      <xdr:col>0</xdr:col>
      <xdr:colOff>395865</xdr:colOff>
      <xdr:row>7</xdr:row>
      <xdr:rowOff>181126</xdr:rowOff>
    </xdr:from>
    <xdr:to>
      <xdr:col>5</xdr:col>
      <xdr:colOff>291927</xdr:colOff>
      <xdr:row>12</xdr:row>
      <xdr:rowOff>137204</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95B9FAD-5FB0-450A-A5E5-7390DA3025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5865" y="1451126"/>
              <a:ext cx="2934991" cy="86322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344611</xdr:colOff>
      <xdr:row>7</xdr:row>
      <xdr:rowOff>176364</xdr:rowOff>
    </xdr:from>
    <xdr:to>
      <xdr:col>10</xdr:col>
      <xdr:colOff>240674</xdr:colOff>
      <xdr:row>12</xdr:row>
      <xdr:rowOff>123140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34B9DA17-9789-40BE-98A6-C2417A9885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83540" y="1446364"/>
              <a:ext cx="2934991" cy="85391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259720</xdr:colOff>
      <xdr:row>7</xdr:row>
      <xdr:rowOff>180773</xdr:rowOff>
    </xdr:from>
    <xdr:to>
      <xdr:col>15</xdr:col>
      <xdr:colOff>155782</xdr:colOff>
      <xdr:row>12</xdr:row>
      <xdr:rowOff>127549</xdr:rowOff>
    </xdr:to>
    <mc:AlternateContent xmlns:mc="http://schemas.openxmlformats.org/markup-compatibility/2006">
      <mc:Choice xmlns:a14="http://schemas.microsoft.com/office/drawing/2010/main" Requires="a14">
        <xdr:graphicFrame macro="">
          <xdr:nvGraphicFramePr>
            <xdr:cNvPr id="10" name="Month name">
              <a:extLst>
                <a:ext uri="{FF2B5EF4-FFF2-40B4-BE49-F238E27FC236}">
                  <a16:creationId xmlns:a16="http://schemas.microsoft.com/office/drawing/2014/main" id="{FD6F676B-14E6-4212-B414-0D982C2323D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6337577" y="1450773"/>
              <a:ext cx="2934991" cy="85391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336776</xdr:colOff>
      <xdr:row>3</xdr:row>
      <xdr:rowOff>116792</xdr:rowOff>
    </xdr:from>
    <xdr:to>
      <xdr:col>4</xdr:col>
      <xdr:colOff>130401</xdr:colOff>
      <xdr:row>7</xdr:row>
      <xdr:rowOff>130917</xdr:rowOff>
    </xdr:to>
    <xdr:grpSp>
      <xdr:nvGrpSpPr>
        <xdr:cNvPr id="11" name="Group 10">
          <a:extLst>
            <a:ext uri="{FF2B5EF4-FFF2-40B4-BE49-F238E27FC236}">
              <a16:creationId xmlns:a16="http://schemas.microsoft.com/office/drawing/2014/main" id="{480C8311-6C66-3A5A-059D-6D42771433E3}"/>
            </a:ext>
          </a:extLst>
        </xdr:cNvPr>
        <xdr:cNvGrpSpPr/>
      </xdr:nvGrpSpPr>
      <xdr:grpSpPr>
        <a:xfrm>
          <a:off x="944562" y="661078"/>
          <a:ext cx="1616982" cy="739839"/>
          <a:chOff x="844776" y="361721"/>
          <a:chExt cx="1616982" cy="739839"/>
        </a:xfrm>
      </xdr:grpSpPr>
      <xdr:sp macro="" textlink="">
        <xdr:nvSpPr>
          <xdr:cNvPr id="15" name="Rectangle: Rounded Corners 14">
            <a:extLst>
              <a:ext uri="{FF2B5EF4-FFF2-40B4-BE49-F238E27FC236}">
                <a16:creationId xmlns:a16="http://schemas.microsoft.com/office/drawing/2014/main" id="{A79EF1E1-365C-B596-0A1B-E1927DE8F6B0}"/>
              </a:ext>
            </a:extLst>
          </xdr:cNvPr>
          <xdr:cNvSpPr/>
        </xdr:nvSpPr>
        <xdr:spPr>
          <a:xfrm>
            <a:off x="844776" y="361721"/>
            <a:ext cx="1616982" cy="739839"/>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K" sz="1200" b="1"/>
          </a:p>
        </xdr:txBody>
      </xdr:sp>
      <xdr:sp macro="" textlink="">
        <xdr:nvSpPr>
          <xdr:cNvPr id="19" name="Rectangle: Rounded Corners 18">
            <a:extLst>
              <a:ext uri="{FF2B5EF4-FFF2-40B4-BE49-F238E27FC236}">
                <a16:creationId xmlns:a16="http://schemas.microsoft.com/office/drawing/2014/main" id="{3BB21A1B-3615-437B-1309-A8E3AB193A2A}"/>
              </a:ext>
            </a:extLst>
          </xdr:cNvPr>
          <xdr:cNvSpPr/>
        </xdr:nvSpPr>
        <xdr:spPr>
          <a:xfrm>
            <a:off x="1060223" y="386668"/>
            <a:ext cx="1175883" cy="28461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Sales</a:t>
            </a:r>
            <a:endParaRPr lang="en-PK" sz="1200" b="1"/>
          </a:p>
        </xdr:txBody>
      </xdr:sp>
      <xdr:sp macro="" textlink="'Pivot tables'!E15">
        <xdr:nvSpPr>
          <xdr:cNvPr id="26" name="Rectangle: Rounded Corners 25">
            <a:extLst>
              <a:ext uri="{FF2B5EF4-FFF2-40B4-BE49-F238E27FC236}">
                <a16:creationId xmlns:a16="http://schemas.microsoft.com/office/drawing/2014/main" id="{2A2A43B6-B39E-3623-7865-7DC6F7FF49D5}"/>
              </a:ext>
            </a:extLst>
          </xdr:cNvPr>
          <xdr:cNvSpPr/>
        </xdr:nvSpPr>
        <xdr:spPr>
          <a:xfrm>
            <a:off x="1107848" y="647473"/>
            <a:ext cx="1009196" cy="26760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2D5563B-0E71-4881-9D95-0AC971CAFB84}" type="TxLink">
              <a:rPr lang="en-US" sz="1400" b="1" i="0" u="none" strike="noStrike">
                <a:solidFill>
                  <a:srgbClr val="000000"/>
                </a:solidFill>
                <a:latin typeface="Calibri"/>
                <a:ea typeface="Calibri"/>
                <a:cs typeface="Calibri"/>
              </a:rPr>
              <a:pPr algn="ctr"/>
              <a:t>94236675</a:t>
            </a:fld>
            <a:endParaRPr lang="en-PK" sz="1400" b="1"/>
          </a:p>
        </xdr:txBody>
      </xdr:sp>
    </xdr:grpSp>
    <xdr:clientData/>
  </xdr:twoCellAnchor>
  <xdr:twoCellAnchor>
    <xdr:from>
      <xdr:col>4</xdr:col>
      <xdr:colOff>476628</xdr:colOff>
      <xdr:row>3</xdr:row>
      <xdr:rowOff>70301</xdr:rowOff>
    </xdr:from>
    <xdr:to>
      <xdr:col>7</xdr:col>
      <xdr:colOff>270252</xdr:colOff>
      <xdr:row>7</xdr:row>
      <xdr:rowOff>138856</xdr:rowOff>
    </xdr:to>
    <xdr:grpSp>
      <xdr:nvGrpSpPr>
        <xdr:cNvPr id="13" name="Group 12">
          <a:extLst>
            <a:ext uri="{FF2B5EF4-FFF2-40B4-BE49-F238E27FC236}">
              <a16:creationId xmlns:a16="http://schemas.microsoft.com/office/drawing/2014/main" id="{8A88761A-13A8-F3AE-8AE5-9B31F9E478D9}"/>
            </a:ext>
          </a:extLst>
        </xdr:cNvPr>
        <xdr:cNvGrpSpPr/>
      </xdr:nvGrpSpPr>
      <xdr:grpSpPr>
        <a:xfrm>
          <a:off x="2907771" y="614587"/>
          <a:ext cx="1616981" cy="794269"/>
          <a:chOff x="2699884" y="324302"/>
          <a:chExt cx="1616981" cy="794269"/>
        </a:xfrm>
      </xdr:grpSpPr>
      <xdr:sp macro="" textlink="">
        <xdr:nvSpPr>
          <xdr:cNvPr id="16" name="Rectangle: Rounded Corners 15">
            <a:extLst>
              <a:ext uri="{FF2B5EF4-FFF2-40B4-BE49-F238E27FC236}">
                <a16:creationId xmlns:a16="http://schemas.microsoft.com/office/drawing/2014/main" id="{024E1591-E7B3-44E3-8FF8-94C41C04DD27}"/>
              </a:ext>
            </a:extLst>
          </xdr:cNvPr>
          <xdr:cNvSpPr/>
        </xdr:nvSpPr>
        <xdr:spPr>
          <a:xfrm>
            <a:off x="2699884" y="378732"/>
            <a:ext cx="1616981" cy="739839"/>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23" name="Rectangle: Rounded Corners 22">
            <a:extLst>
              <a:ext uri="{FF2B5EF4-FFF2-40B4-BE49-F238E27FC236}">
                <a16:creationId xmlns:a16="http://schemas.microsoft.com/office/drawing/2014/main" id="{D3229A2E-97D8-47AB-A72E-6B2CDC4ED2AE}"/>
              </a:ext>
            </a:extLst>
          </xdr:cNvPr>
          <xdr:cNvSpPr/>
        </xdr:nvSpPr>
        <xdr:spPr>
          <a:xfrm>
            <a:off x="2804204" y="324302"/>
            <a:ext cx="1175883" cy="2834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Profit</a:t>
            </a:r>
            <a:endParaRPr lang="en-PK" sz="1200" b="1"/>
          </a:p>
        </xdr:txBody>
      </xdr:sp>
      <xdr:sp macro="" textlink="'Pivot tables'!G14">
        <xdr:nvSpPr>
          <xdr:cNvPr id="28" name="Rectangle: Rounded Corners 27">
            <a:extLst>
              <a:ext uri="{FF2B5EF4-FFF2-40B4-BE49-F238E27FC236}">
                <a16:creationId xmlns:a16="http://schemas.microsoft.com/office/drawing/2014/main" id="{7E720AF1-DBA7-7587-67A2-B73597FBD51A}"/>
              </a:ext>
            </a:extLst>
          </xdr:cNvPr>
          <xdr:cNvSpPr/>
        </xdr:nvSpPr>
        <xdr:spPr>
          <a:xfrm>
            <a:off x="2986768" y="639536"/>
            <a:ext cx="1128258" cy="2528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4620F71-8854-4AF9-8089-891C5371ABB0}" type="TxLink">
              <a:rPr lang="en-US" sz="1400" b="1" i="0" u="none" strike="noStrike">
                <a:solidFill>
                  <a:srgbClr val="000000"/>
                </a:solidFill>
                <a:latin typeface="Calibri"/>
                <a:ea typeface="Calibri"/>
                <a:cs typeface="Calibri"/>
              </a:rPr>
              <a:pPr algn="ctr"/>
              <a:t>48252975</a:t>
            </a:fld>
            <a:endParaRPr lang="en-PK" sz="1400" b="1"/>
          </a:p>
        </xdr:txBody>
      </xdr:sp>
    </xdr:grpSp>
    <xdr:clientData/>
  </xdr:twoCellAnchor>
  <xdr:twoCellAnchor>
    <xdr:from>
      <xdr:col>8</xdr:col>
      <xdr:colOff>26835</xdr:colOff>
      <xdr:row>3</xdr:row>
      <xdr:rowOff>46488</xdr:rowOff>
    </xdr:from>
    <xdr:to>
      <xdr:col>10</xdr:col>
      <xdr:colOff>428246</xdr:colOff>
      <xdr:row>7</xdr:row>
      <xdr:rowOff>130917</xdr:rowOff>
    </xdr:to>
    <xdr:grpSp>
      <xdr:nvGrpSpPr>
        <xdr:cNvPr id="20" name="Group 19">
          <a:extLst>
            <a:ext uri="{FF2B5EF4-FFF2-40B4-BE49-F238E27FC236}">
              <a16:creationId xmlns:a16="http://schemas.microsoft.com/office/drawing/2014/main" id="{C100E808-0DF8-C030-F4C7-0C51871DDB41}"/>
            </a:ext>
          </a:extLst>
        </xdr:cNvPr>
        <xdr:cNvGrpSpPr/>
      </xdr:nvGrpSpPr>
      <xdr:grpSpPr>
        <a:xfrm>
          <a:off x="4889121" y="590774"/>
          <a:ext cx="1616982" cy="810143"/>
          <a:chOff x="4762498" y="300489"/>
          <a:chExt cx="1616982" cy="810143"/>
        </a:xfrm>
      </xdr:grpSpPr>
      <xdr:sp macro="" textlink="">
        <xdr:nvSpPr>
          <xdr:cNvPr id="17" name="Rectangle: Rounded Corners 16">
            <a:extLst>
              <a:ext uri="{FF2B5EF4-FFF2-40B4-BE49-F238E27FC236}">
                <a16:creationId xmlns:a16="http://schemas.microsoft.com/office/drawing/2014/main" id="{516F6F0D-C475-44EF-B069-CFE39525633B}"/>
              </a:ext>
            </a:extLst>
          </xdr:cNvPr>
          <xdr:cNvSpPr/>
        </xdr:nvSpPr>
        <xdr:spPr>
          <a:xfrm>
            <a:off x="4762498" y="370793"/>
            <a:ext cx="1616982" cy="739839"/>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24" name="Rectangle: Rounded Corners 23">
            <a:extLst>
              <a:ext uri="{FF2B5EF4-FFF2-40B4-BE49-F238E27FC236}">
                <a16:creationId xmlns:a16="http://schemas.microsoft.com/office/drawing/2014/main" id="{56D58DCC-3DB0-47FC-B983-E17056989F39}"/>
              </a:ext>
            </a:extLst>
          </xdr:cNvPr>
          <xdr:cNvSpPr/>
        </xdr:nvSpPr>
        <xdr:spPr>
          <a:xfrm>
            <a:off x="4770435" y="300489"/>
            <a:ext cx="1175883" cy="2834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a:t>
            </a:r>
            <a:r>
              <a:rPr lang="en-US" sz="1200" b="1" baseline="0"/>
              <a:t> Quantity</a:t>
            </a:r>
            <a:endParaRPr lang="en-PK" sz="1200" b="1"/>
          </a:p>
        </xdr:txBody>
      </xdr:sp>
      <xdr:sp macro="" textlink="'Pivot tables'!F17">
        <xdr:nvSpPr>
          <xdr:cNvPr id="30" name="Rectangle: Rounded Corners 29">
            <a:extLst>
              <a:ext uri="{FF2B5EF4-FFF2-40B4-BE49-F238E27FC236}">
                <a16:creationId xmlns:a16="http://schemas.microsoft.com/office/drawing/2014/main" id="{8E987AF9-93F7-83A4-BDCC-23B9A5A364EF}"/>
              </a:ext>
            </a:extLst>
          </xdr:cNvPr>
          <xdr:cNvSpPr/>
        </xdr:nvSpPr>
        <xdr:spPr>
          <a:xfrm>
            <a:off x="5092474" y="639536"/>
            <a:ext cx="861784" cy="29141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DEDAD7-5BAA-45E5-9EF6-301AADC14096}" type="TxLink">
              <a:rPr lang="en-US" sz="1400" b="1" i="0" u="none" strike="noStrike">
                <a:solidFill>
                  <a:srgbClr val="000000"/>
                </a:solidFill>
                <a:latin typeface="Calibri"/>
                <a:ea typeface="Calibri"/>
                <a:cs typeface="Calibri"/>
              </a:rPr>
              <a:pPr algn="ctr"/>
              <a:t>2500</a:t>
            </a:fld>
            <a:endParaRPr lang="en-PK" sz="1400" b="1"/>
          </a:p>
        </xdr:txBody>
      </xdr:sp>
    </xdr:grpSp>
    <xdr:clientData/>
  </xdr:twoCellAnchor>
  <xdr:twoCellAnchor>
    <xdr:from>
      <xdr:col>11</xdr:col>
      <xdr:colOff>175757</xdr:colOff>
      <xdr:row>3</xdr:row>
      <xdr:rowOff>54425</xdr:rowOff>
    </xdr:from>
    <xdr:to>
      <xdr:col>13</xdr:col>
      <xdr:colOff>577167</xdr:colOff>
      <xdr:row>7</xdr:row>
      <xdr:rowOff>115041</xdr:rowOff>
    </xdr:to>
    <xdr:grpSp>
      <xdr:nvGrpSpPr>
        <xdr:cNvPr id="21" name="Group 20">
          <a:extLst>
            <a:ext uri="{FF2B5EF4-FFF2-40B4-BE49-F238E27FC236}">
              <a16:creationId xmlns:a16="http://schemas.microsoft.com/office/drawing/2014/main" id="{FDC48234-637F-E16E-7DAD-50E1965C22F5}"/>
            </a:ext>
          </a:extLst>
        </xdr:cNvPr>
        <xdr:cNvGrpSpPr/>
      </xdr:nvGrpSpPr>
      <xdr:grpSpPr>
        <a:xfrm>
          <a:off x="6861400" y="598711"/>
          <a:ext cx="1616981" cy="786330"/>
          <a:chOff x="6689043" y="308426"/>
          <a:chExt cx="1616981" cy="786330"/>
        </a:xfrm>
      </xdr:grpSpPr>
      <xdr:sp macro="" textlink="">
        <xdr:nvSpPr>
          <xdr:cNvPr id="18" name="Rectangle: Rounded Corners 17">
            <a:extLst>
              <a:ext uri="{FF2B5EF4-FFF2-40B4-BE49-F238E27FC236}">
                <a16:creationId xmlns:a16="http://schemas.microsoft.com/office/drawing/2014/main" id="{F1D2D4D1-9C1B-4E8D-A173-009F5EB1B2CF}"/>
              </a:ext>
            </a:extLst>
          </xdr:cNvPr>
          <xdr:cNvSpPr/>
        </xdr:nvSpPr>
        <xdr:spPr>
          <a:xfrm>
            <a:off x="6689043" y="378733"/>
            <a:ext cx="1616981" cy="716023"/>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25" name="Rectangle: Rounded Corners 24">
            <a:extLst>
              <a:ext uri="{FF2B5EF4-FFF2-40B4-BE49-F238E27FC236}">
                <a16:creationId xmlns:a16="http://schemas.microsoft.com/office/drawing/2014/main" id="{9822DDF8-1097-4A1A-BE58-2D6FCFC54946}"/>
              </a:ext>
            </a:extLst>
          </xdr:cNvPr>
          <xdr:cNvSpPr/>
        </xdr:nvSpPr>
        <xdr:spPr>
          <a:xfrm>
            <a:off x="6733266" y="308426"/>
            <a:ext cx="1175883" cy="2834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orders</a:t>
            </a:r>
            <a:endParaRPr lang="en-PK" sz="1200" b="1"/>
          </a:p>
        </xdr:txBody>
      </xdr:sp>
      <xdr:sp macro="" textlink="'Pivot tables'!H14">
        <xdr:nvSpPr>
          <xdr:cNvPr id="31" name="Rectangle: Rounded Corners 30">
            <a:extLst>
              <a:ext uri="{FF2B5EF4-FFF2-40B4-BE49-F238E27FC236}">
                <a16:creationId xmlns:a16="http://schemas.microsoft.com/office/drawing/2014/main" id="{4256FA83-3482-E4F6-489D-8B1ACB8B389E}"/>
              </a:ext>
            </a:extLst>
          </xdr:cNvPr>
          <xdr:cNvSpPr/>
        </xdr:nvSpPr>
        <xdr:spPr>
          <a:xfrm>
            <a:off x="7050768" y="639536"/>
            <a:ext cx="845911" cy="2449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CDA110-7B70-4A83-A2F3-97EAD423F11D}" type="TxLink">
              <a:rPr lang="en-US" sz="1400" b="1" i="0" u="none" strike="noStrike">
                <a:solidFill>
                  <a:srgbClr val="000000"/>
                </a:solidFill>
                <a:latin typeface="Calibri"/>
                <a:ea typeface="Calibri"/>
                <a:cs typeface="Calibri"/>
              </a:rPr>
              <a:pPr algn="ctr"/>
              <a:t>500</a:t>
            </a:fld>
            <a:endParaRPr lang="en-PK" sz="1400" b="1"/>
          </a:p>
        </xdr:txBody>
      </xdr:sp>
    </xdr:grpSp>
    <xdr:clientData/>
  </xdr:twoCellAnchor>
  <xdr:twoCellAnchor>
    <xdr:from>
      <xdr:col>3</xdr:col>
      <xdr:colOff>199572</xdr:colOff>
      <xdr:row>0</xdr:row>
      <xdr:rowOff>85045</xdr:rowOff>
    </xdr:from>
    <xdr:to>
      <xdr:col>12</xdr:col>
      <xdr:colOff>489857</xdr:colOff>
      <xdr:row>3</xdr:row>
      <xdr:rowOff>63500</xdr:rowOff>
    </xdr:to>
    <xdr:sp macro="" textlink="">
      <xdr:nvSpPr>
        <xdr:cNvPr id="32" name="Rectangle: Rounded Corners 31">
          <a:extLst>
            <a:ext uri="{FF2B5EF4-FFF2-40B4-BE49-F238E27FC236}">
              <a16:creationId xmlns:a16="http://schemas.microsoft.com/office/drawing/2014/main" id="{C12B3998-E5DE-C343-3A41-9A9C3ADA4F7B}"/>
            </a:ext>
          </a:extLst>
        </xdr:cNvPr>
        <xdr:cNvSpPr/>
      </xdr:nvSpPr>
      <xdr:spPr>
        <a:xfrm>
          <a:off x="2022929" y="85045"/>
          <a:ext cx="5760357" cy="52274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Sales Performance Dashboard</a:t>
          </a:r>
          <a:endParaRPr lang="en-PK"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ir ." refreshedDate="46306.345120138889" createdVersion="8" refreshedVersion="8" minRefreshableVersion="3" recordCount="500" xr:uid="{30BA6F08-652D-47D9-B943-F9E35571D927}">
  <cacheSource type="worksheet">
    <worksheetSource ref="A1:P501" sheet="Sales_Data"/>
  </cacheSource>
  <cacheFields count="16">
    <cacheField name="OrderID" numFmtId="0">
      <sharedItems count="500">
        <s v="ORD-1126"/>
        <s v="ORD-1405"/>
        <s v="ORD-1382"/>
        <s v="ORD-1221"/>
        <s v="ORD-1114"/>
        <s v="ORD-1304"/>
        <s v="ORD-1441"/>
        <s v="ORD-1496"/>
        <s v="ORD-1021"/>
        <s v="ORD-1163"/>
        <s v="ORD-1282"/>
        <s v="ORD-1266"/>
        <s v="ORD-1311"/>
        <s v="ORD-1105"/>
        <s v="ORD-1209"/>
        <s v="ORD-1129"/>
        <s v="ORD-1493"/>
        <s v="ORD-1160"/>
        <s v="ORD-1353"/>
        <s v="ORD-1335"/>
        <s v="ORD-1428"/>
        <s v="ORD-1001"/>
        <s v="ORD-1015"/>
        <s v="ORD-1364"/>
        <s v="ORD-1010"/>
        <s v="ORD-1071"/>
        <s v="ORD-1009"/>
        <s v="ORD-1168"/>
        <s v="ORD-1315"/>
        <s v="ORD-1344"/>
        <s v="ORD-1369"/>
        <s v="ORD-1323"/>
        <s v="ORD-1250"/>
        <s v="ORD-1320"/>
        <s v="ORD-1036"/>
        <s v="ORD-1380"/>
        <s v="ORD-1303"/>
        <s v="ORD-1045"/>
        <s v="ORD-1429"/>
        <s v="ORD-1095"/>
        <s v="ORD-1208"/>
        <s v="ORD-1236"/>
        <s v="ORD-1448"/>
        <s v="ORD-1299"/>
        <s v="ORD-1189"/>
        <s v="ORD-1069"/>
        <s v="ORD-1235"/>
        <s v="ORD-1240"/>
        <s v="ORD-1134"/>
        <s v="ORD-1232"/>
        <s v="ORD-1165"/>
        <s v="ORD-1218"/>
        <s v="ORD-1191"/>
        <s v="ORD-1233"/>
        <s v="ORD-1489"/>
        <s v="ORD-1158"/>
        <s v="ORD-1483"/>
        <s v="ORD-1100"/>
        <s v="ORD-1075"/>
        <s v="ORD-1245"/>
        <s v="ORD-1167"/>
        <s v="ORD-1139"/>
        <s v="ORD-1244"/>
        <s v="ORD-1275"/>
        <s v="ORD-1044"/>
        <s v="ORD-1387"/>
        <s v="ORD-1358"/>
        <s v="ORD-1164"/>
        <s v="ORD-1170"/>
        <s v="ORD-1060"/>
        <s v="ORD-1265"/>
        <s v="ORD-1432"/>
        <s v="ORD-1269"/>
        <s v="ORD-1205"/>
        <s v="ORD-1313"/>
        <s v="ORD-1470"/>
        <s v="ORD-1040"/>
        <s v="ORD-1136"/>
        <s v="ORD-1048"/>
        <s v="ORD-1242"/>
        <s v="ORD-1476"/>
        <s v="ORD-1251"/>
        <s v="ORD-1418"/>
        <s v="ORD-1137"/>
        <s v="ORD-1007"/>
        <s v="ORD-1094"/>
        <s v="ORD-1300"/>
        <s v="ORD-1030"/>
        <s v="ORD-1011"/>
        <s v="ORD-1210"/>
        <s v="ORD-1422"/>
        <s v="ORD-1182"/>
        <s v="ORD-1183"/>
        <s v="ORD-1032"/>
        <s v="ORD-1207"/>
        <s v="ORD-1190"/>
        <s v="ORD-1268"/>
        <s v="ORD-1050"/>
        <s v="ORD-1006"/>
        <s v="ORD-1029"/>
        <s v="ORD-1327"/>
        <s v="ORD-1284"/>
        <s v="ORD-1119"/>
        <s v="ORD-1288"/>
        <s v="ORD-1442"/>
        <s v="ORD-1342"/>
        <s v="ORD-1370"/>
        <s v="ORD-1194"/>
        <s v="ORD-1096"/>
        <s v="ORD-1130"/>
        <s v="ORD-1312"/>
        <s v="ORD-1000"/>
        <s v="ORD-1109"/>
        <s v="ORD-1106"/>
        <s v="ORD-1365"/>
        <s v="ORD-1376"/>
        <s v="ORD-1287"/>
        <s v="ORD-1248"/>
        <s v="ORD-1155"/>
        <s v="ORD-1450"/>
        <s v="ORD-1038"/>
        <s v="ORD-1390"/>
        <s v="ORD-1140"/>
        <s v="ORD-1319"/>
        <s v="ORD-1398"/>
        <s v="ORD-1141"/>
        <s v="ORD-1306"/>
        <s v="ORD-1261"/>
        <s v="ORD-1273"/>
        <s v="ORD-1176"/>
        <s v="ORD-1452"/>
        <s v="ORD-1285"/>
        <s v="ORD-1091"/>
        <s v="ORD-1477"/>
        <s v="ORD-1005"/>
        <s v="ORD-1084"/>
        <s v="ORD-1199"/>
        <s v="ORD-1082"/>
        <s v="ORD-1427"/>
        <s v="ORD-1440"/>
        <s v="ORD-1317"/>
        <s v="ORD-1314"/>
        <s v="ORD-1478"/>
        <s v="ORD-1097"/>
        <s v="ORD-1123"/>
        <s v="ORD-1481"/>
        <s v="ORD-1228"/>
        <s v="ORD-1330"/>
        <s v="ORD-1289"/>
        <s v="ORD-1026"/>
        <s v="ORD-1279"/>
        <s v="ORD-1239"/>
        <s v="ORD-1112"/>
        <s v="ORD-1459"/>
        <s v="ORD-1022"/>
        <s v="ORD-1341"/>
        <s v="ORD-1098"/>
        <s v="ORD-1308"/>
        <s v="ORD-1125"/>
        <s v="ORD-1055"/>
        <s v="ORD-1332"/>
        <s v="ORD-1063"/>
        <s v="ORD-1219"/>
        <s v="ORD-1143"/>
        <s v="ORD-1212"/>
        <s v="ORD-1417"/>
        <s v="ORD-1061"/>
        <s v="ORD-1402"/>
        <s v="ORD-1445"/>
        <s v="ORD-1333"/>
        <s v="ORD-1367"/>
        <s v="ORD-1117"/>
        <s v="ORD-1336"/>
        <s v="ORD-1201"/>
        <s v="ORD-1243"/>
        <s v="ORD-1181"/>
        <s v="ORD-1197"/>
        <s v="ORD-1229"/>
        <s v="ORD-1378"/>
        <s v="ORD-1399"/>
        <s v="ORD-1196"/>
        <s v="ORD-1043"/>
        <s v="ORD-1354"/>
        <s v="ORD-1435"/>
        <s v="ORD-1384"/>
        <s v="ORD-1122"/>
        <s v="ORD-1426"/>
        <s v="ORD-1016"/>
        <s v="ORD-1347"/>
        <s v="ORD-1148"/>
        <s v="ORD-1294"/>
        <s v="ORD-1256"/>
        <s v="ORD-1490"/>
        <s v="ORD-1058"/>
        <s v="ORD-1325"/>
        <s v="ORD-1408"/>
        <s v="ORD-1292"/>
        <s v="ORD-1147"/>
        <s v="ORD-1076"/>
        <s v="ORD-1078"/>
        <s v="ORD-1270"/>
        <s v="ORD-1414"/>
        <s v="ORD-1216"/>
        <s v="ORD-1482"/>
        <s v="ORD-1175"/>
        <s v="ORD-1027"/>
        <s v="ORD-1231"/>
        <s v="ORD-1012"/>
        <s v="ORD-1090"/>
        <s v="ORD-1444"/>
        <s v="ORD-1067"/>
        <s v="ORD-1018"/>
        <s v="ORD-1162"/>
        <s v="ORD-1346"/>
        <s v="ORD-1352"/>
        <s v="ORD-1004"/>
        <s v="ORD-1157"/>
        <s v="ORD-1425"/>
        <s v="ORD-1351"/>
        <s v="ORD-1046"/>
        <s v="ORD-1070"/>
        <s v="ORD-1166"/>
        <s v="ORD-1161"/>
        <s v="ORD-1479"/>
        <s v="ORD-1013"/>
        <s v="ORD-1049"/>
        <s v="ORD-1246"/>
        <s v="ORD-1472"/>
        <s v="ORD-1423"/>
        <s v="ORD-1331"/>
        <s v="ORD-1211"/>
        <s v="ORD-1172"/>
        <s v="ORD-1467"/>
        <s v="ORD-1258"/>
        <s v="ORD-1133"/>
        <s v="ORD-1135"/>
        <s v="ORD-1178"/>
        <s v="ORD-1439"/>
        <s v="ORD-1430"/>
        <s v="ORD-1062"/>
        <s v="ORD-1276"/>
        <s v="ORD-1003"/>
        <s v="ORD-1249"/>
        <s v="ORD-1085"/>
        <s v="ORD-1156"/>
        <s v="ORD-1463"/>
        <s v="ORD-1195"/>
        <s v="ORD-1339"/>
        <s v="ORD-1204"/>
        <s v="ORD-1449"/>
        <s v="ORD-1326"/>
        <s v="ORD-1298"/>
        <s v="ORD-1104"/>
        <s v="ORD-1379"/>
        <s v="ORD-1462"/>
        <s v="ORD-1255"/>
        <s v="ORD-1366"/>
        <s v="ORD-1307"/>
        <s v="ORD-1115"/>
        <s v="ORD-1086"/>
        <s v="ORD-1295"/>
        <s v="ORD-1286"/>
        <s v="ORD-1035"/>
        <s v="ORD-1368"/>
        <s v="ORD-1272"/>
        <s v="ORD-1144"/>
        <s v="ORD-1259"/>
        <s v="ORD-1223"/>
        <s v="ORD-1083"/>
        <s v="ORD-1340"/>
        <s v="ORD-1059"/>
        <s v="ORD-1107"/>
        <s v="ORD-1074"/>
        <s v="ORD-1066"/>
        <s v="ORD-1473"/>
        <s v="ORD-1290"/>
        <s v="ORD-1468"/>
        <s v="ORD-1002"/>
        <s v="ORD-1302"/>
        <s v="ORD-1464"/>
        <s v="ORD-1025"/>
        <s v="ORD-1020"/>
        <s v="ORD-1052"/>
        <s v="ORD-1359"/>
        <s v="ORD-1173"/>
        <s v="ORD-1357"/>
        <s v="ORD-1202"/>
        <s v="ORD-1291"/>
        <s v="ORD-1419"/>
        <s v="ORD-1278"/>
        <s v="ORD-1471"/>
        <s v="ORD-1225"/>
        <s v="ORD-1407"/>
        <s v="ORD-1047"/>
        <s v="ORD-1110"/>
        <s v="ORD-1041"/>
        <s v="ORD-1397"/>
        <s v="ORD-1230"/>
        <s v="ORD-1120"/>
        <s v="ORD-1498"/>
        <s v="ORD-1283"/>
        <s v="ORD-1391"/>
        <s v="ORD-1262"/>
        <s v="ORD-1403"/>
        <s v="ORD-1281"/>
        <s v="ORD-1406"/>
        <s v="ORD-1350"/>
        <s v="ORD-1132"/>
        <s v="ORD-1321"/>
        <s v="ORD-1393"/>
        <s v="ORD-1424"/>
        <s v="ORD-1149"/>
        <s v="ORD-1373"/>
        <s v="ORD-1389"/>
        <s v="ORD-1234"/>
        <s v="ORD-1257"/>
        <s v="ORD-1077"/>
        <s v="ORD-1072"/>
        <s v="ORD-1254"/>
        <s v="ORD-1264"/>
        <s v="ORD-1454"/>
        <s v="ORD-1475"/>
        <s v="ORD-1410"/>
        <s v="ORD-1127"/>
        <s v="ORD-1068"/>
        <s v="ORD-1395"/>
        <s v="ORD-1356"/>
        <s v="ORD-1388"/>
        <s v="ORD-1486"/>
        <s v="ORD-1169"/>
        <s v="ORD-1363"/>
        <s v="ORD-1337"/>
        <s v="ORD-1305"/>
        <s v="ORD-1421"/>
        <s v="ORD-1474"/>
        <s v="ORD-1028"/>
        <s v="ORD-1159"/>
        <s v="ORD-1193"/>
        <s v="ORD-1108"/>
        <s v="ORD-1024"/>
        <s v="ORD-1293"/>
        <s v="ORD-1034"/>
        <s v="ORD-1372"/>
        <s v="ORD-1274"/>
        <s v="ORD-1349"/>
        <s v="ORD-1360"/>
        <s v="ORD-1497"/>
        <s v="ORD-1328"/>
        <s v="ORD-1185"/>
        <s v="ORD-1057"/>
        <s v="ORD-1324"/>
        <s v="ORD-1033"/>
        <s v="ORD-1089"/>
        <s v="ORD-1042"/>
        <s v="ORD-1131"/>
        <s v="ORD-1385"/>
        <s v="ORD-1322"/>
        <s v="ORD-1054"/>
        <s v="ORD-1316"/>
        <s v="ORD-1277"/>
        <s v="ORD-1056"/>
        <s v="ORD-1151"/>
        <s v="ORD-1124"/>
        <s v="ORD-1039"/>
        <s v="ORD-1220"/>
        <s v="ORD-1401"/>
        <s v="ORD-1065"/>
        <s v="ORD-1031"/>
        <s v="ORD-1494"/>
        <s v="ORD-1051"/>
        <s v="ORD-1102"/>
        <s v="ORD-1343"/>
        <s v="ORD-1480"/>
        <s v="ORD-1436"/>
        <s v="ORD-1101"/>
        <s v="ORD-1377"/>
        <s v="ORD-1492"/>
        <s v="ORD-1222"/>
        <s v="ORD-1499"/>
        <s v="ORD-1080"/>
        <s v="ORD-1260"/>
        <s v="ORD-1088"/>
        <s v="ORD-1355"/>
        <s v="ORD-1150"/>
        <s v="ORD-1362"/>
        <s v="ORD-1438"/>
        <s v="ORD-1073"/>
        <s v="ORD-1217"/>
        <s v="ORD-1192"/>
        <s v="ORD-1396"/>
        <s v="ORD-1247"/>
        <s v="ORD-1404"/>
        <s v="ORD-1329"/>
        <s v="ORD-1213"/>
        <s v="ORD-1180"/>
        <s v="ORD-1485"/>
        <s v="ORD-1394"/>
        <s v="ORD-1187"/>
        <s v="ORD-1338"/>
        <s v="ORD-1334"/>
        <s v="ORD-1484"/>
        <s v="ORD-1434"/>
        <s v="ORD-1488"/>
        <s v="ORD-1017"/>
        <s v="ORD-1252"/>
        <s v="ORD-1491"/>
        <s v="ORD-1400"/>
        <s v="ORD-1008"/>
        <s v="ORD-1023"/>
        <s v="ORD-1200"/>
        <s v="ORD-1099"/>
        <s v="ORD-1301"/>
        <s v="ORD-1186"/>
        <s v="ORD-1226"/>
        <s v="ORD-1146"/>
        <s v="ORD-1443"/>
        <s v="ORD-1457"/>
        <s v="ORD-1310"/>
        <s v="ORD-1087"/>
        <s v="ORD-1409"/>
        <s v="ORD-1318"/>
        <s v="ORD-1184"/>
        <s v="ORD-1386"/>
        <s v="ORD-1371"/>
        <s v="ORD-1111"/>
        <s v="ORD-1381"/>
        <s v="ORD-1374"/>
        <s v="ORD-1152"/>
        <s v="ORD-1280"/>
        <s v="ORD-1469"/>
        <s v="ORD-1309"/>
        <s v="ORD-1413"/>
        <s v="ORD-1412"/>
        <s v="ORD-1206"/>
        <s v="ORD-1455"/>
        <s v="ORD-1458"/>
        <s v="ORD-1019"/>
        <s v="ORD-1198"/>
        <s v="ORD-1461"/>
        <s v="ORD-1154"/>
        <s v="ORD-1053"/>
        <s v="ORD-1113"/>
        <s v="ORD-1224"/>
        <s v="ORD-1433"/>
        <s v="ORD-1451"/>
        <s v="ORD-1263"/>
        <s v="ORD-1267"/>
        <s v="ORD-1081"/>
        <s v="ORD-1037"/>
        <s v="ORD-1348"/>
        <s v="ORD-1064"/>
        <s v="ORD-1203"/>
        <s v="ORD-1453"/>
        <s v="ORD-1447"/>
        <s v="ORD-1411"/>
        <s v="ORD-1487"/>
        <s v="ORD-1188"/>
        <s v="ORD-1103"/>
        <s v="ORD-1345"/>
        <s v="ORD-1177"/>
        <s v="ORD-1416"/>
        <s v="ORD-1179"/>
        <s v="ORD-1460"/>
        <s v="ORD-1431"/>
        <s v="ORD-1142"/>
        <s v="ORD-1237"/>
        <s v="ORD-1495"/>
        <s v="ORD-1215"/>
        <s v="ORD-1466"/>
        <s v="ORD-1138"/>
        <s v="ORD-1174"/>
        <s v="ORD-1214"/>
        <s v="ORD-1227"/>
        <s v="ORD-1297"/>
        <s v="ORD-1128"/>
        <s v="ORD-1093"/>
        <s v="ORD-1437"/>
        <s v="ORD-1079"/>
        <s v="ORD-1116"/>
        <s v="ORD-1238"/>
        <s v="ORD-1456"/>
        <s v="ORD-1296"/>
        <s v="ORD-1014"/>
        <s v="ORD-1271"/>
        <s v="ORD-1392"/>
        <s v="ORD-1121"/>
        <s v="ORD-1118"/>
        <s v="ORD-1241"/>
        <s v="ORD-1092"/>
        <s v="ORD-1361"/>
        <s v="ORD-1375"/>
        <s v="ORD-1415"/>
        <s v="ORD-1171"/>
        <s v="ORD-1420"/>
        <s v="ORD-1153"/>
        <s v="ORD-1446"/>
        <s v="ORD-1383"/>
        <s v="ORD-1465"/>
        <s v="ORD-1253"/>
        <s v="ORD-1145"/>
      </sharedItems>
    </cacheField>
    <cacheField name="Date" numFmtId="14">
      <sharedItems containsSemiMixedTypes="0" containsNonDate="0" containsDate="1" containsString="0" minDate="2024-01-01T00:00:00" maxDate="2025-06-25T00:00:00"/>
    </cacheField>
    <cacheField name="Month name" numFmtId="164">
      <sharedItems count="12">
        <s v="January"/>
        <s v="February"/>
        <s v="March"/>
        <s v="April"/>
        <s v="May"/>
        <s v="June"/>
        <s v="July"/>
        <s v="August"/>
        <s v="September"/>
        <s v="October"/>
        <s v="November"/>
        <s v="December"/>
      </sharedItems>
    </cacheField>
    <cacheField name="Year" numFmtId="164">
      <sharedItems/>
    </cacheField>
    <cacheField name="Product" numFmtId="0">
      <sharedItems count="8">
        <s v="Mobile"/>
        <s v="Headphone"/>
        <s v="Tablet"/>
        <s v="Keyboard"/>
        <s v="Monitor"/>
        <s v="Charger"/>
        <s v="Mouse"/>
        <s v="Laptop"/>
      </sharedItems>
    </cacheField>
    <cacheField name="Category" numFmtId="0">
      <sharedItems count="2">
        <s v="Electronics"/>
        <s v="Accessories"/>
      </sharedItems>
    </cacheField>
    <cacheField name="Region" numFmtId="0">
      <sharedItems count="6">
        <s v="Islamabad"/>
        <s v="Peshawar"/>
        <s v="Faisalabad"/>
        <s v="Lahore"/>
        <s v="Karachi"/>
        <s v="Multan"/>
      </sharedItems>
    </cacheField>
    <cacheField name="SalesPerson" numFmtId="0">
      <sharedItems count="7">
        <s v="Bilal"/>
        <s v="Ali"/>
        <s v="Fatima"/>
        <s v="Ayesha"/>
        <s v="Ahmed"/>
        <s v="Usman"/>
        <s v="Sara"/>
      </sharedItems>
    </cacheField>
    <cacheField name="Quantity" numFmtId="0">
      <sharedItems containsSemiMixedTypes="0" containsString="0" containsNumber="1" containsInteger="1" minValue="1" maxValue="9"/>
    </cacheField>
    <cacheField name="UnitPrice" numFmtId="0">
      <sharedItems containsSemiMixedTypes="0" containsString="0" containsNumber="1" containsInteger="1" minValue="1500" maxValue="120000"/>
    </cacheField>
    <cacheField name="Discount%" numFmtId="0">
      <sharedItems containsSemiMixedTypes="0" containsString="0" containsNumber="1" containsInteger="1" minValue="0" maxValue="15"/>
    </cacheField>
    <cacheField name="TotalPrice" numFmtId="0">
      <sharedItems containsSemiMixedTypes="0" containsString="0" containsNumber="1" containsInteger="1" minValue="1500" maxValue="1080000"/>
    </cacheField>
    <cacheField name="FinalPrice" numFmtId="0">
      <sharedItems containsSemiMixedTypes="0" containsString="0" containsNumber="1" containsInteger="1" minValue="1275" maxValue="1080000"/>
    </cacheField>
    <cacheField name="Profit" numFmtId="0">
      <sharedItems containsSemiMixedTypes="0" containsString="0" containsNumber="1" containsInteger="1" minValue="-608625" maxValue="1072800"/>
    </cacheField>
    <cacheField name="Discount category" numFmtId="0">
      <sharedItems/>
    </cacheField>
    <cacheField name="Cost price" numFmtId="0">
      <sharedItems containsSemiMixedTypes="0" containsString="0" containsNumber="1" containsInteger="1" minValue="600" maxValue="70000"/>
    </cacheField>
  </cacheFields>
  <extLst>
    <ext xmlns:x14="http://schemas.microsoft.com/office/spreadsheetml/2009/9/main" uri="{725AE2AE-9491-48be-B2B4-4EB974FC3084}">
      <x14:pivotCacheDefinition pivotCacheId="460568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d v="2024-01-01T00:00:00"/>
    <x v="0"/>
    <s v="2024"/>
    <x v="0"/>
    <x v="0"/>
    <x v="0"/>
    <x v="0"/>
    <n v="9"/>
    <n v="1500"/>
    <n v="10"/>
    <n v="13500"/>
    <n v="12150"/>
    <n v="-302850"/>
    <s v="Normal"/>
    <n v="35000"/>
  </r>
  <r>
    <x v="1"/>
    <d v="2024-01-01T00:00:00"/>
    <x v="0"/>
    <s v="2024"/>
    <x v="1"/>
    <x v="1"/>
    <x v="1"/>
    <x v="0"/>
    <n v="3"/>
    <n v="45000"/>
    <n v="10"/>
    <n v="135000"/>
    <n v="121500"/>
    <n v="115500"/>
    <s v="Normal"/>
    <n v="2000"/>
  </r>
  <r>
    <x v="2"/>
    <d v="2024-01-02T00:00:00"/>
    <x v="0"/>
    <s v="2024"/>
    <x v="1"/>
    <x v="0"/>
    <x v="2"/>
    <x v="0"/>
    <n v="5"/>
    <n v="15000"/>
    <n v="0"/>
    <n v="75000"/>
    <n v="75000"/>
    <n v="65000"/>
    <s v="Normal"/>
    <n v="2000"/>
  </r>
  <r>
    <x v="3"/>
    <d v="2024-01-03T00:00:00"/>
    <x v="0"/>
    <s v="2024"/>
    <x v="2"/>
    <x v="0"/>
    <x v="3"/>
    <x v="1"/>
    <n v="3"/>
    <n v="1500"/>
    <n v="0"/>
    <n v="4500"/>
    <n v="4500"/>
    <n v="-49500"/>
    <s v="Normal"/>
    <n v="18000"/>
  </r>
  <r>
    <x v="4"/>
    <d v="2024-01-04T00:00:00"/>
    <x v="0"/>
    <s v="2024"/>
    <x v="3"/>
    <x v="1"/>
    <x v="1"/>
    <x v="0"/>
    <n v="5"/>
    <n v="15000"/>
    <n v="0"/>
    <n v="75000"/>
    <n v="75000"/>
    <n v="70500"/>
    <s v="Normal"/>
    <n v="900"/>
  </r>
  <r>
    <x v="5"/>
    <d v="2024-01-04T00:00:00"/>
    <x v="0"/>
    <s v="2024"/>
    <x v="0"/>
    <x v="1"/>
    <x v="1"/>
    <x v="2"/>
    <n v="9"/>
    <n v="8000"/>
    <n v="10"/>
    <n v="72000"/>
    <n v="64800"/>
    <n v="-250200"/>
    <s v="Normal"/>
    <n v="35000"/>
  </r>
  <r>
    <x v="6"/>
    <d v="2024-01-06T00:00:00"/>
    <x v="0"/>
    <s v="2024"/>
    <x v="4"/>
    <x v="0"/>
    <x v="1"/>
    <x v="3"/>
    <n v="7"/>
    <n v="8000"/>
    <n v="0"/>
    <n v="56000"/>
    <n v="56000"/>
    <n v="-49000"/>
    <s v="Normal"/>
    <n v="15000"/>
  </r>
  <r>
    <x v="7"/>
    <d v="2024-01-07T00:00:00"/>
    <x v="0"/>
    <s v="2024"/>
    <x v="2"/>
    <x v="0"/>
    <x v="2"/>
    <x v="4"/>
    <n v="9"/>
    <n v="1500"/>
    <n v="15"/>
    <n v="13500"/>
    <n v="11475"/>
    <n v="-150525"/>
    <s v="Normal"/>
    <n v="18000"/>
  </r>
  <r>
    <x v="8"/>
    <d v="2024-01-07T00:00:00"/>
    <x v="0"/>
    <s v="2024"/>
    <x v="5"/>
    <x v="0"/>
    <x v="4"/>
    <x v="4"/>
    <n v="2"/>
    <n v="2500"/>
    <n v="5"/>
    <n v="5000"/>
    <n v="4750"/>
    <n v="3150"/>
    <s v="Normal"/>
    <n v="800"/>
  </r>
  <r>
    <x v="9"/>
    <d v="2024-01-08T00:00:00"/>
    <x v="0"/>
    <s v="2024"/>
    <x v="1"/>
    <x v="1"/>
    <x v="5"/>
    <x v="5"/>
    <n v="9"/>
    <n v="120000"/>
    <n v="0"/>
    <n v="1080000"/>
    <n v="1080000"/>
    <n v="1062000"/>
    <s v="Normal"/>
    <n v="2000"/>
  </r>
  <r>
    <x v="10"/>
    <d v="2024-01-09T00:00:00"/>
    <x v="0"/>
    <s v="2024"/>
    <x v="6"/>
    <x v="1"/>
    <x v="4"/>
    <x v="2"/>
    <n v="6"/>
    <n v="15000"/>
    <n v="10"/>
    <n v="90000"/>
    <n v="81000"/>
    <n v="77400"/>
    <s v="Normal"/>
    <n v="600"/>
  </r>
  <r>
    <x v="11"/>
    <d v="2024-01-10T00:00:00"/>
    <x v="0"/>
    <s v="2024"/>
    <x v="1"/>
    <x v="0"/>
    <x v="5"/>
    <x v="0"/>
    <n v="6"/>
    <n v="120000"/>
    <n v="5"/>
    <n v="720000"/>
    <n v="684000"/>
    <n v="672000"/>
    <s v="Normal"/>
    <n v="2000"/>
  </r>
  <r>
    <x v="12"/>
    <d v="2024-01-10T00:00:00"/>
    <x v="0"/>
    <s v="2024"/>
    <x v="3"/>
    <x v="0"/>
    <x v="1"/>
    <x v="0"/>
    <n v="6"/>
    <n v="85000"/>
    <n v="5"/>
    <n v="510000"/>
    <n v="484500"/>
    <n v="479100"/>
    <s v="Normal"/>
    <n v="900"/>
  </r>
  <r>
    <x v="13"/>
    <d v="2024-01-12T00:00:00"/>
    <x v="0"/>
    <s v="2024"/>
    <x v="0"/>
    <x v="0"/>
    <x v="1"/>
    <x v="4"/>
    <n v="7"/>
    <n v="120000"/>
    <n v="0"/>
    <n v="840000"/>
    <n v="840000"/>
    <n v="595000"/>
    <s v="Normal"/>
    <n v="35000"/>
  </r>
  <r>
    <x v="14"/>
    <d v="2024-01-16T00:00:00"/>
    <x v="0"/>
    <s v="2024"/>
    <x v="5"/>
    <x v="1"/>
    <x v="2"/>
    <x v="1"/>
    <n v="7"/>
    <n v="1500"/>
    <n v="0"/>
    <n v="10500"/>
    <n v="10500"/>
    <n v="4900"/>
    <s v="Normal"/>
    <n v="800"/>
  </r>
  <r>
    <x v="15"/>
    <d v="2024-01-20T00:00:00"/>
    <x v="0"/>
    <s v="2024"/>
    <x v="1"/>
    <x v="0"/>
    <x v="1"/>
    <x v="0"/>
    <n v="8"/>
    <n v="15000"/>
    <n v="0"/>
    <n v="120000"/>
    <n v="120000"/>
    <n v="104000"/>
    <s v="Normal"/>
    <n v="2000"/>
  </r>
  <r>
    <x v="16"/>
    <d v="2024-01-21T00:00:00"/>
    <x v="0"/>
    <s v="2024"/>
    <x v="6"/>
    <x v="1"/>
    <x v="0"/>
    <x v="6"/>
    <n v="3"/>
    <n v="85000"/>
    <n v="5"/>
    <n v="255000"/>
    <n v="242250"/>
    <n v="240450"/>
    <s v="Normal"/>
    <n v="600"/>
  </r>
  <r>
    <x v="17"/>
    <d v="2024-01-22T00:00:00"/>
    <x v="0"/>
    <s v="2024"/>
    <x v="3"/>
    <x v="1"/>
    <x v="5"/>
    <x v="4"/>
    <n v="2"/>
    <n v="2500"/>
    <n v="0"/>
    <n v="5000"/>
    <n v="5000"/>
    <n v="3200"/>
    <s v="Normal"/>
    <n v="900"/>
  </r>
  <r>
    <x v="18"/>
    <d v="2024-01-25T00:00:00"/>
    <x v="0"/>
    <s v="2024"/>
    <x v="4"/>
    <x v="0"/>
    <x v="1"/>
    <x v="4"/>
    <n v="4"/>
    <n v="2500"/>
    <n v="0"/>
    <n v="10000"/>
    <n v="10000"/>
    <n v="-50000"/>
    <s v="Normal"/>
    <n v="15000"/>
  </r>
  <r>
    <x v="19"/>
    <d v="2024-01-26T00:00:00"/>
    <x v="0"/>
    <s v="2024"/>
    <x v="4"/>
    <x v="1"/>
    <x v="4"/>
    <x v="4"/>
    <n v="1"/>
    <n v="45000"/>
    <n v="0"/>
    <n v="45000"/>
    <n v="45000"/>
    <n v="30000"/>
    <s v="Normal"/>
    <n v="15000"/>
  </r>
  <r>
    <x v="20"/>
    <d v="2024-01-26T00:00:00"/>
    <x v="0"/>
    <s v="2024"/>
    <x v="7"/>
    <x v="1"/>
    <x v="0"/>
    <x v="3"/>
    <n v="8"/>
    <n v="85000"/>
    <n v="0"/>
    <n v="680000"/>
    <n v="680000"/>
    <n v="120000"/>
    <s v="Normal"/>
    <n v="70000"/>
  </r>
  <r>
    <x v="21"/>
    <d v="2024-01-26T00:00:00"/>
    <x v="0"/>
    <s v="2024"/>
    <x v="1"/>
    <x v="0"/>
    <x v="3"/>
    <x v="4"/>
    <n v="3"/>
    <n v="1500"/>
    <n v="10"/>
    <n v="4500"/>
    <n v="4050"/>
    <n v="-1950"/>
    <s v="Normal"/>
    <n v="2000"/>
  </r>
  <r>
    <x v="22"/>
    <d v="2024-01-28T00:00:00"/>
    <x v="0"/>
    <s v="2024"/>
    <x v="5"/>
    <x v="0"/>
    <x v="2"/>
    <x v="1"/>
    <n v="9"/>
    <n v="45000"/>
    <n v="10"/>
    <n v="405000"/>
    <n v="364500"/>
    <n v="357300"/>
    <s v="Normal"/>
    <n v="800"/>
  </r>
  <r>
    <x v="23"/>
    <d v="2024-01-29T00:00:00"/>
    <x v="0"/>
    <s v="2024"/>
    <x v="3"/>
    <x v="1"/>
    <x v="3"/>
    <x v="4"/>
    <n v="6"/>
    <n v="45000"/>
    <n v="0"/>
    <n v="270000"/>
    <n v="270000"/>
    <n v="264600"/>
    <s v="Normal"/>
    <n v="900"/>
  </r>
  <r>
    <x v="24"/>
    <d v="2024-01-31T00:00:00"/>
    <x v="0"/>
    <s v="2024"/>
    <x v="2"/>
    <x v="0"/>
    <x v="1"/>
    <x v="1"/>
    <n v="9"/>
    <n v="1500"/>
    <n v="15"/>
    <n v="13500"/>
    <n v="11475"/>
    <n v="-150525"/>
    <s v="Normal"/>
    <n v="18000"/>
  </r>
  <r>
    <x v="25"/>
    <d v="2024-02-02T00:00:00"/>
    <x v="1"/>
    <s v="2024"/>
    <x v="0"/>
    <x v="0"/>
    <x v="3"/>
    <x v="0"/>
    <n v="7"/>
    <n v="15000"/>
    <n v="5"/>
    <n v="105000"/>
    <n v="99750"/>
    <n v="-145250"/>
    <s v="Normal"/>
    <n v="35000"/>
  </r>
  <r>
    <x v="26"/>
    <d v="2024-02-02T00:00:00"/>
    <x v="1"/>
    <s v="2024"/>
    <x v="0"/>
    <x v="1"/>
    <x v="5"/>
    <x v="5"/>
    <n v="2"/>
    <n v="2500"/>
    <n v="15"/>
    <n v="5000"/>
    <n v="4250"/>
    <n v="-65750"/>
    <s v="Normal"/>
    <n v="35000"/>
  </r>
  <r>
    <x v="27"/>
    <d v="2024-02-02T00:00:00"/>
    <x v="1"/>
    <s v="2024"/>
    <x v="3"/>
    <x v="0"/>
    <x v="4"/>
    <x v="1"/>
    <n v="6"/>
    <n v="120000"/>
    <n v="0"/>
    <n v="720000"/>
    <n v="720000"/>
    <n v="714600"/>
    <s v="Normal"/>
    <n v="900"/>
  </r>
  <r>
    <x v="28"/>
    <d v="2024-02-06T00:00:00"/>
    <x v="1"/>
    <s v="2024"/>
    <x v="4"/>
    <x v="0"/>
    <x v="4"/>
    <x v="5"/>
    <n v="5"/>
    <n v="2500"/>
    <n v="5"/>
    <n v="12500"/>
    <n v="11875"/>
    <n v="-63125"/>
    <s v="Normal"/>
    <n v="15000"/>
  </r>
  <r>
    <x v="29"/>
    <d v="2024-02-09T00:00:00"/>
    <x v="1"/>
    <s v="2024"/>
    <x v="2"/>
    <x v="0"/>
    <x v="3"/>
    <x v="6"/>
    <n v="2"/>
    <n v="8000"/>
    <n v="0"/>
    <n v="16000"/>
    <n v="16000"/>
    <n v="-20000"/>
    <s v="Normal"/>
    <n v="18000"/>
  </r>
  <r>
    <x v="30"/>
    <d v="2024-02-09T00:00:00"/>
    <x v="1"/>
    <s v="2024"/>
    <x v="3"/>
    <x v="1"/>
    <x v="1"/>
    <x v="2"/>
    <n v="2"/>
    <n v="1500"/>
    <n v="0"/>
    <n v="3000"/>
    <n v="3000"/>
    <n v="1200"/>
    <s v="Normal"/>
    <n v="900"/>
  </r>
  <r>
    <x v="31"/>
    <d v="2024-02-10T00:00:00"/>
    <x v="1"/>
    <s v="2024"/>
    <x v="0"/>
    <x v="0"/>
    <x v="3"/>
    <x v="4"/>
    <n v="2"/>
    <n v="2500"/>
    <n v="5"/>
    <n v="5000"/>
    <n v="4750"/>
    <n v="-65250"/>
    <s v="Normal"/>
    <n v="35000"/>
  </r>
  <r>
    <x v="32"/>
    <d v="2024-02-10T00:00:00"/>
    <x v="1"/>
    <s v="2024"/>
    <x v="6"/>
    <x v="1"/>
    <x v="3"/>
    <x v="2"/>
    <n v="8"/>
    <n v="15000"/>
    <n v="0"/>
    <n v="120000"/>
    <n v="120000"/>
    <n v="115200"/>
    <s v="Normal"/>
    <n v="600"/>
  </r>
  <r>
    <x v="33"/>
    <d v="2024-02-12T00:00:00"/>
    <x v="1"/>
    <s v="2024"/>
    <x v="4"/>
    <x v="0"/>
    <x v="0"/>
    <x v="3"/>
    <n v="8"/>
    <n v="85000"/>
    <n v="10"/>
    <n v="680000"/>
    <n v="612000"/>
    <n v="492000"/>
    <s v="Normal"/>
    <n v="15000"/>
  </r>
  <r>
    <x v="34"/>
    <d v="2024-02-14T00:00:00"/>
    <x v="1"/>
    <s v="2024"/>
    <x v="1"/>
    <x v="1"/>
    <x v="2"/>
    <x v="0"/>
    <n v="8"/>
    <n v="85000"/>
    <n v="0"/>
    <n v="680000"/>
    <n v="680000"/>
    <n v="664000"/>
    <s v="Normal"/>
    <n v="2000"/>
  </r>
  <r>
    <x v="35"/>
    <d v="2024-02-15T00:00:00"/>
    <x v="1"/>
    <s v="2024"/>
    <x v="4"/>
    <x v="0"/>
    <x v="5"/>
    <x v="4"/>
    <n v="3"/>
    <n v="15000"/>
    <n v="5"/>
    <n v="45000"/>
    <n v="42750"/>
    <n v="-2250"/>
    <s v="Normal"/>
    <n v="15000"/>
  </r>
  <r>
    <x v="36"/>
    <d v="2024-02-15T00:00:00"/>
    <x v="1"/>
    <s v="2024"/>
    <x v="6"/>
    <x v="0"/>
    <x v="5"/>
    <x v="1"/>
    <n v="6"/>
    <n v="120000"/>
    <n v="0"/>
    <n v="720000"/>
    <n v="720000"/>
    <n v="716400"/>
    <s v="Normal"/>
    <n v="600"/>
  </r>
  <r>
    <x v="37"/>
    <d v="2024-02-16T00:00:00"/>
    <x v="1"/>
    <s v="2024"/>
    <x v="1"/>
    <x v="1"/>
    <x v="1"/>
    <x v="6"/>
    <n v="9"/>
    <n v="8000"/>
    <n v="5"/>
    <n v="72000"/>
    <n v="68400"/>
    <n v="50400"/>
    <s v="Normal"/>
    <n v="2000"/>
  </r>
  <r>
    <x v="38"/>
    <d v="2024-02-17T00:00:00"/>
    <x v="1"/>
    <s v="2024"/>
    <x v="1"/>
    <x v="0"/>
    <x v="0"/>
    <x v="4"/>
    <n v="2"/>
    <n v="85000"/>
    <n v="0"/>
    <n v="170000"/>
    <n v="170000"/>
    <n v="166000"/>
    <s v="Normal"/>
    <n v="2000"/>
  </r>
  <r>
    <x v="39"/>
    <d v="2024-02-18T00:00:00"/>
    <x v="1"/>
    <s v="2024"/>
    <x v="6"/>
    <x v="1"/>
    <x v="4"/>
    <x v="0"/>
    <n v="6"/>
    <n v="85000"/>
    <n v="0"/>
    <n v="510000"/>
    <n v="510000"/>
    <n v="506400"/>
    <s v="Normal"/>
    <n v="600"/>
  </r>
  <r>
    <x v="40"/>
    <d v="2024-02-21T00:00:00"/>
    <x v="1"/>
    <s v="2024"/>
    <x v="6"/>
    <x v="1"/>
    <x v="1"/>
    <x v="6"/>
    <n v="4"/>
    <n v="85000"/>
    <n v="0"/>
    <n v="340000"/>
    <n v="340000"/>
    <n v="337600"/>
    <s v="Normal"/>
    <n v="600"/>
  </r>
  <r>
    <x v="41"/>
    <d v="2024-02-21T00:00:00"/>
    <x v="1"/>
    <s v="2024"/>
    <x v="6"/>
    <x v="1"/>
    <x v="0"/>
    <x v="6"/>
    <n v="9"/>
    <n v="15000"/>
    <n v="15"/>
    <n v="135000"/>
    <n v="114750"/>
    <n v="109350"/>
    <s v="Normal"/>
    <n v="600"/>
  </r>
  <r>
    <x v="42"/>
    <d v="2024-02-21T00:00:00"/>
    <x v="1"/>
    <s v="2024"/>
    <x v="3"/>
    <x v="1"/>
    <x v="3"/>
    <x v="6"/>
    <n v="5"/>
    <n v="1500"/>
    <n v="0"/>
    <n v="7500"/>
    <n v="7500"/>
    <n v="3000"/>
    <s v="Normal"/>
    <n v="900"/>
  </r>
  <r>
    <x v="43"/>
    <d v="2024-02-22T00:00:00"/>
    <x v="1"/>
    <s v="2024"/>
    <x v="4"/>
    <x v="0"/>
    <x v="3"/>
    <x v="1"/>
    <n v="8"/>
    <n v="120000"/>
    <n v="0"/>
    <n v="960000"/>
    <n v="960000"/>
    <n v="840000"/>
    <s v="Normal"/>
    <n v="15000"/>
  </r>
  <r>
    <x v="44"/>
    <d v="2024-02-25T00:00:00"/>
    <x v="1"/>
    <s v="2024"/>
    <x v="6"/>
    <x v="1"/>
    <x v="0"/>
    <x v="5"/>
    <n v="2"/>
    <n v="15000"/>
    <n v="10"/>
    <n v="30000"/>
    <n v="27000"/>
    <n v="25800"/>
    <s v="Normal"/>
    <n v="600"/>
  </r>
  <r>
    <x v="45"/>
    <d v="2024-02-27T00:00:00"/>
    <x v="1"/>
    <s v="2024"/>
    <x v="6"/>
    <x v="0"/>
    <x v="1"/>
    <x v="3"/>
    <n v="6"/>
    <n v="15000"/>
    <n v="10"/>
    <n v="90000"/>
    <n v="81000"/>
    <n v="77400"/>
    <s v="Normal"/>
    <n v="600"/>
  </r>
  <r>
    <x v="46"/>
    <d v="2024-02-28T00:00:00"/>
    <x v="1"/>
    <s v="2024"/>
    <x v="1"/>
    <x v="0"/>
    <x v="3"/>
    <x v="3"/>
    <n v="8"/>
    <n v="15000"/>
    <n v="10"/>
    <n v="120000"/>
    <n v="108000"/>
    <n v="92000"/>
    <s v="Normal"/>
    <n v="2000"/>
  </r>
  <r>
    <x v="47"/>
    <d v="2024-02-28T00:00:00"/>
    <x v="1"/>
    <s v="2024"/>
    <x v="0"/>
    <x v="0"/>
    <x v="5"/>
    <x v="6"/>
    <n v="6"/>
    <n v="15000"/>
    <n v="10"/>
    <n v="90000"/>
    <n v="81000"/>
    <n v="-129000"/>
    <s v="Normal"/>
    <n v="35000"/>
  </r>
  <r>
    <x v="48"/>
    <d v="2024-02-29T00:00:00"/>
    <x v="1"/>
    <s v="2024"/>
    <x v="3"/>
    <x v="1"/>
    <x v="2"/>
    <x v="2"/>
    <n v="2"/>
    <n v="1500"/>
    <n v="10"/>
    <n v="3000"/>
    <n v="2700"/>
    <n v="900"/>
    <s v="Normal"/>
    <n v="900"/>
  </r>
  <r>
    <x v="49"/>
    <d v="2024-02-29T00:00:00"/>
    <x v="1"/>
    <s v="2024"/>
    <x v="1"/>
    <x v="0"/>
    <x v="0"/>
    <x v="1"/>
    <n v="3"/>
    <n v="15000"/>
    <n v="5"/>
    <n v="45000"/>
    <n v="42750"/>
    <n v="36750"/>
    <s v="Normal"/>
    <n v="2000"/>
  </r>
  <r>
    <x v="50"/>
    <d v="2024-03-01T00:00:00"/>
    <x v="2"/>
    <s v="2024"/>
    <x v="7"/>
    <x v="0"/>
    <x v="0"/>
    <x v="1"/>
    <n v="6"/>
    <n v="8000"/>
    <n v="15"/>
    <n v="48000"/>
    <n v="40800"/>
    <n v="-379200"/>
    <s v="Normal"/>
    <n v="70000"/>
  </r>
  <r>
    <x v="51"/>
    <d v="2024-03-01T00:00:00"/>
    <x v="2"/>
    <s v="2024"/>
    <x v="4"/>
    <x v="1"/>
    <x v="4"/>
    <x v="2"/>
    <n v="7"/>
    <n v="15000"/>
    <n v="10"/>
    <n v="105000"/>
    <n v="94500"/>
    <n v="-10500"/>
    <s v="Normal"/>
    <n v="15000"/>
  </r>
  <r>
    <x v="52"/>
    <d v="2024-03-03T00:00:00"/>
    <x v="2"/>
    <s v="2024"/>
    <x v="2"/>
    <x v="1"/>
    <x v="1"/>
    <x v="0"/>
    <n v="7"/>
    <n v="1500"/>
    <n v="0"/>
    <n v="10500"/>
    <n v="10500"/>
    <n v="-115500"/>
    <s v="Normal"/>
    <n v="18000"/>
  </r>
  <r>
    <x v="53"/>
    <d v="2024-03-03T00:00:00"/>
    <x v="2"/>
    <s v="2024"/>
    <x v="1"/>
    <x v="1"/>
    <x v="1"/>
    <x v="6"/>
    <n v="6"/>
    <n v="45000"/>
    <n v="10"/>
    <n v="270000"/>
    <n v="243000"/>
    <n v="231000"/>
    <s v="Normal"/>
    <n v="2000"/>
  </r>
  <r>
    <x v="54"/>
    <d v="2024-03-04T00:00:00"/>
    <x v="2"/>
    <s v="2024"/>
    <x v="5"/>
    <x v="1"/>
    <x v="5"/>
    <x v="3"/>
    <n v="5"/>
    <n v="1500"/>
    <n v="15"/>
    <n v="7500"/>
    <n v="6375"/>
    <n v="2375"/>
    <s v="Normal"/>
    <n v="800"/>
  </r>
  <r>
    <x v="55"/>
    <d v="2024-03-06T00:00:00"/>
    <x v="2"/>
    <s v="2024"/>
    <x v="7"/>
    <x v="1"/>
    <x v="5"/>
    <x v="3"/>
    <n v="8"/>
    <n v="85000"/>
    <n v="0"/>
    <n v="680000"/>
    <n v="680000"/>
    <n v="120000"/>
    <s v="Normal"/>
    <n v="70000"/>
  </r>
  <r>
    <x v="56"/>
    <d v="2024-03-06T00:00:00"/>
    <x v="2"/>
    <s v="2024"/>
    <x v="6"/>
    <x v="0"/>
    <x v="3"/>
    <x v="5"/>
    <n v="9"/>
    <n v="85000"/>
    <n v="0"/>
    <n v="765000"/>
    <n v="765000"/>
    <n v="759600"/>
    <s v="Normal"/>
    <n v="600"/>
  </r>
  <r>
    <x v="57"/>
    <d v="2024-03-06T00:00:00"/>
    <x v="2"/>
    <s v="2024"/>
    <x v="3"/>
    <x v="0"/>
    <x v="4"/>
    <x v="6"/>
    <n v="4"/>
    <n v="45000"/>
    <n v="15"/>
    <n v="180000"/>
    <n v="153000"/>
    <n v="149400"/>
    <s v="Normal"/>
    <n v="900"/>
  </r>
  <r>
    <x v="58"/>
    <d v="2024-03-08T00:00:00"/>
    <x v="2"/>
    <s v="2024"/>
    <x v="0"/>
    <x v="1"/>
    <x v="4"/>
    <x v="4"/>
    <n v="6"/>
    <n v="2500"/>
    <n v="5"/>
    <n v="15000"/>
    <n v="14250"/>
    <n v="-195750"/>
    <s v="Normal"/>
    <n v="35000"/>
  </r>
  <r>
    <x v="59"/>
    <d v="2024-03-10T00:00:00"/>
    <x v="2"/>
    <s v="2024"/>
    <x v="6"/>
    <x v="1"/>
    <x v="2"/>
    <x v="2"/>
    <n v="8"/>
    <n v="85000"/>
    <n v="15"/>
    <n v="680000"/>
    <n v="578000"/>
    <n v="573200"/>
    <s v="Normal"/>
    <n v="600"/>
  </r>
  <r>
    <x v="60"/>
    <d v="2024-03-10T00:00:00"/>
    <x v="2"/>
    <s v="2024"/>
    <x v="3"/>
    <x v="1"/>
    <x v="1"/>
    <x v="6"/>
    <n v="8"/>
    <n v="8000"/>
    <n v="15"/>
    <n v="64000"/>
    <n v="54400"/>
    <n v="47200"/>
    <s v="Normal"/>
    <n v="900"/>
  </r>
  <r>
    <x v="61"/>
    <d v="2024-03-11T00:00:00"/>
    <x v="2"/>
    <s v="2024"/>
    <x v="7"/>
    <x v="1"/>
    <x v="2"/>
    <x v="2"/>
    <n v="8"/>
    <n v="2500"/>
    <n v="10"/>
    <n v="20000"/>
    <n v="18000"/>
    <n v="-542000"/>
    <s v="Normal"/>
    <n v="70000"/>
  </r>
  <r>
    <x v="62"/>
    <d v="2024-03-11T00:00:00"/>
    <x v="2"/>
    <s v="2024"/>
    <x v="3"/>
    <x v="0"/>
    <x v="4"/>
    <x v="6"/>
    <n v="5"/>
    <n v="120000"/>
    <n v="0"/>
    <n v="600000"/>
    <n v="600000"/>
    <n v="595500"/>
    <s v="Normal"/>
    <n v="900"/>
  </r>
  <r>
    <x v="63"/>
    <d v="2024-03-11T00:00:00"/>
    <x v="2"/>
    <s v="2024"/>
    <x v="1"/>
    <x v="0"/>
    <x v="1"/>
    <x v="1"/>
    <n v="7"/>
    <n v="85000"/>
    <n v="0"/>
    <n v="595000"/>
    <n v="595000"/>
    <n v="581000"/>
    <s v="Normal"/>
    <n v="2000"/>
  </r>
  <r>
    <x v="64"/>
    <d v="2024-03-12T00:00:00"/>
    <x v="2"/>
    <s v="2024"/>
    <x v="1"/>
    <x v="0"/>
    <x v="5"/>
    <x v="6"/>
    <n v="1"/>
    <n v="85000"/>
    <n v="10"/>
    <n v="85000"/>
    <n v="76500"/>
    <n v="74500"/>
    <s v="Normal"/>
    <n v="2000"/>
  </r>
  <r>
    <x v="65"/>
    <d v="2024-03-12T00:00:00"/>
    <x v="2"/>
    <s v="2024"/>
    <x v="3"/>
    <x v="1"/>
    <x v="4"/>
    <x v="2"/>
    <n v="9"/>
    <n v="85000"/>
    <n v="5"/>
    <n v="765000"/>
    <n v="726750"/>
    <n v="718650"/>
    <s v="Normal"/>
    <n v="900"/>
  </r>
  <r>
    <x v="66"/>
    <d v="2024-03-12T00:00:00"/>
    <x v="2"/>
    <s v="2024"/>
    <x v="7"/>
    <x v="1"/>
    <x v="2"/>
    <x v="5"/>
    <n v="5"/>
    <n v="1500"/>
    <n v="15"/>
    <n v="7500"/>
    <n v="6375"/>
    <n v="-343625"/>
    <s v="Normal"/>
    <n v="70000"/>
  </r>
  <r>
    <x v="67"/>
    <d v="2024-03-13T00:00:00"/>
    <x v="2"/>
    <s v="2024"/>
    <x v="0"/>
    <x v="0"/>
    <x v="3"/>
    <x v="2"/>
    <n v="1"/>
    <n v="85000"/>
    <n v="5"/>
    <n v="85000"/>
    <n v="80750"/>
    <n v="45750"/>
    <s v="Normal"/>
    <n v="35000"/>
  </r>
  <r>
    <x v="68"/>
    <d v="2024-03-13T00:00:00"/>
    <x v="2"/>
    <s v="2024"/>
    <x v="4"/>
    <x v="0"/>
    <x v="1"/>
    <x v="1"/>
    <n v="8"/>
    <n v="15000"/>
    <n v="0"/>
    <n v="120000"/>
    <n v="120000"/>
    <n v="0"/>
    <s v="Normal"/>
    <n v="15000"/>
  </r>
  <r>
    <x v="69"/>
    <d v="2024-03-14T00:00:00"/>
    <x v="2"/>
    <s v="2024"/>
    <x v="2"/>
    <x v="1"/>
    <x v="5"/>
    <x v="4"/>
    <n v="7"/>
    <n v="8000"/>
    <n v="10"/>
    <n v="56000"/>
    <n v="50400"/>
    <n v="-75600"/>
    <s v="Normal"/>
    <n v="18000"/>
  </r>
  <r>
    <x v="70"/>
    <d v="2024-03-15T00:00:00"/>
    <x v="2"/>
    <s v="2024"/>
    <x v="0"/>
    <x v="0"/>
    <x v="2"/>
    <x v="6"/>
    <n v="3"/>
    <n v="120000"/>
    <n v="10"/>
    <n v="360000"/>
    <n v="324000"/>
    <n v="219000"/>
    <s v="Normal"/>
    <n v="35000"/>
  </r>
  <r>
    <x v="71"/>
    <d v="2024-03-15T00:00:00"/>
    <x v="2"/>
    <s v="2024"/>
    <x v="5"/>
    <x v="0"/>
    <x v="2"/>
    <x v="1"/>
    <n v="9"/>
    <n v="120000"/>
    <n v="0"/>
    <n v="1080000"/>
    <n v="1080000"/>
    <n v="1072800"/>
    <s v="Normal"/>
    <n v="800"/>
  </r>
  <r>
    <x v="72"/>
    <d v="2024-03-16T00:00:00"/>
    <x v="2"/>
    <s v="2024"/>
    <x v="2"/>
    <x v="0"/>
    <x v="4"/>
    <x v="1"/>
    <n v="8"/>
    <n v="8000"/>
    <n v="15"/>
    <n v="64000"/>
    <n v="54400"/>
    <n v="-89600"/>
    <s v="Normal"/>
    <n v="18000"/>
  </r>
  <r>
    <x v="73"/>
    <d v="2024-03-18T00:00:00"/>
    <x v="2"/>
    <s v="2024"/>
    <x v="5"/>
    <x v="0"/>
    <x v="5"/>
    <x v="4"/>
    <n v="8"/>
    <n v="2500"/>
    <n v="0"/>
    <n v="20000"/>
    <n v="20000"/>
    <n v="13600"/>
    <s v="Normal"/>
    <n v="800"/>
  </r>
  <r>
    <x v="74"/>
    <d v="2024-03-18T00:00:00"/>
    <x v="2"/>
    <s v="2024"/>
    <x v="3"/>
    <x v="1"/>
    <x v="4"/>
    <x v="2"/>
    <n v="9"/>
    <n v="85000"/>
    <n v="5"/>
    <n v="765000"/>
    <n v="726750"/>
    <n v="718650"/>
    <s v="Normal"/>
    <n v="900"/>
  </r>
  <r>
    <x v="75"/>
    <d v="2024-03-20T00:00:00"/>
    <x v="2"/>
    <s v="2024"/>
    <x v="5"/>
    <x v="1"/>
    <x v="3"/>
    <x v="5"/>
    <n v="4"/>
    <n v="1500"/>
    <n v="15"/>
    <n v="6000"/>
    <n v="5100"/>
    <n v="1900"/>
    <s v="Normal"/>
    <n v="800"/>
  </r>
  <r>
    <x v="76"/>
    <d v="2024-03-21T00:00:00"/>
    <x v="2"/>
    <s v="2024"/>
    <x v="2"/>
    <x v="0"/>
    <x v="4"/>
    <x v="0"/>
    <n v="6"/>
    <n v="1500"/>
    <n v="10"/>
    <n v="9000"/>
    <n v="8100"/>
    <n v="-99900"/>
    <s v="Normal"/>
    <n v="18000"/>
  </r>
  <r>
    <x v="77"/>
    <d v="2024-03-21T00:00:00"/>
    <x v="2"/>
    <s v="2024"/>
    <x v="7"/>
    <x v="0"/>
    <x v="2"/>
    <x v="3"/>
    <n v="7"/>
    <n v="15000"/>
    <n v="0"/>
    <n v="105000"/>
    <n v="105000"/>
    <n v="-385000"/>
    <s v="Normal"/>
    <n v="70000"/>
  </r>
  <r>
    <x v="78"/>
    <d v="2024-03-22T00:00:00"/>
    <x v="2"/>
    <s v="2024"/>
    <x v="6"/>
    <x v="1"/>
    <x v="5"/>
    <x v="0"/>
    <n v="4"/>
    <n v="85000"/>
    <n v="0"/>
    <n v="340000"/>
    <n v="340000"/>
    <n v="337600"/>
    <s v="Normal"/>
    <n v="600"/>
  </r>
  <r>
    <x v="79"/>
    <d v="2024-03-23T00:00:00"/>
    <x v="2"/>
    <s v="2024"/>
    <x v="1"/>
    <x v="1"/>
    <x v="0"/>
    <x v="3"/>
    <n v="7"/>
    <n v="45000"/>
    <n v="5"/>
    <n v="315000"/>
    <n v="299250"/>
    <n v="285250"/>
    <s v="Normal"/>
    <n v="2000"/>
  </r>
  <r>
    <x v="80"/>
    <d v="2024-03-23T00:00:00"/>
    <x v="2"/>
    <s v="2024"/>
    <x v="7"/>
    <x v="1"/>
    <x v="0"/>
    <x v="1"/>
    <n v="8"/>
    <n v="85000"/>
    <n v="0"/>
    <n v="680000"/>
    <n v="680000"/>
    <n v="120000"/>
    <s v="Normal"/>
    <n v="70000"/>
  </r>
  <r>
    <x v="81"/>
    <d v="2024-03-24T00:00:00"/>
    <x v="2"/>
    <s v="2024"/>
    <x v="7"/>
    <x v="0"/>
    <x v="3"/>
    <x v="5"/>
    <n v="2"/>
    <n v="120000"/>
    <n v="10"/>
    <n v="240000"/>
    <n v="216000"/>
    <n v="76000"/>
    <s v="Normal"/>
    <n v="70000"/>
  </r>
  <r>
    <x v="82"/>
    <d v="2024-03-27T00:00:00"/>
    <x v="2"/>
    <s v="2024"/>
    <x v="4"/>
    <x v="1"/>
    <x v="5"/>
    <x v="3"/>
    <n v="1"/>
    <n v="120000"/>
    <n v="5"/>
    <n v="120000"/>
    <n v="114000"/>
    <n v="99000"/>
    <s v="Normal"/>
    <n v="15000"/>
  </r>
  <r>
    <x v="83"/>
    <d v="2024-03-28T00:00:00"/>
    <x v="2"/>
    <s v="2024"/>
    <x v="7"/>
    <x v="0"/>
    <x v="2"/>
    <x v="6"/>
    <n v="3"/>
    <n v="85000"/>
    <n v="5"/>
    <n v="255000"/>
    <n v="242250"/>
    <n v="32250"/>
    <s v="Normal"/>
    <n v="70000"/>
  </r>
  <r>
    <x v="84"/>
    <d v="2024-03-30T00:00:00"/>
    <x v="2"/>
    <s v="2024"/>
    <x v="5"/>
    <x v="0"/>
    <x v="0"/>
    <x v="6"/>
    <n v="4"/>
    <n v="8000"/>
    <n v="0"/>
    <n v="32000"/>
    <n v="32000"/>
    <n v="28800"/>
    <s v="Normal"/>
    <n v="800"/>
  </r>
  <r>
    <x v="85"/>
    <d v="2024-04-03T00:00:00"/>
    <x v="3"/>
    <s v="2024"/>
    <x v="6"/>
    <x v="1"/>
    <x v="1"/>
    <x v="2"/>
    <n v="1"/>
    <n v="15000"/>
    <n v="0"/>
    <n v="15000"/>
    <n v="15000"/>
    <n v="14400"/>
    <s v="Normal"/>
    <n v="600"/>
  </r>
  <r>
    <x v="86"/>
    <d v="2024-04-04T00:00:00"/>
    <x v="3"/>
    <s v="2024"/>
    <x v="7"/>
    <x v="0"/>
    <x v="4"/>
    <x v="0"/>
    <n v="4"/>
    <n v="85000"/>
    <n v="0"/>
    <n v="340000"/>
    <n v="340000"/>
    <n v="60000"/>
    <s v="Normal"/>
    <n v="70000"/>
  </r>
  <r>
    <x v="87"/>
    <d v="2024-04-04T00:00:00"/>
    <x v="3"/>
    <s v="2024"/>
    <x v="5"/>
    <x v="0"/>
    <x v="2"/>
    <x v="1"/>
    <n v="1"/>
    <n v="8000"/>
    <n v="0"/>
    <n v="8000"/>
    <n v="8000"/>
    <n v="7200"/>
    <s v="Normal"/>
    <n v="800"/>
  </r>
  <r>
    <x v="88"/>
    <d v="2024-04-05T00:00:00"/>
    <x v="3"/>
    <s v="2024"/>
    <x v="3"/>
    <x v="1"/>
    <x v="2"/>
    <x v="2"/>
    <n v="8"/>
    <n v="120000"/>
    <n v="0"/>
    <n v="960000"/>
    <n v="960000"/>
    <n v="952800"/>
    <s v="Normal"/>
    <n v="900"/>
  </r>
  <r>
    <x v="89"/>
    <d v="2024-04-05T00:00:00"/>
    <x v="3"/>
    <s v="2024"/>
    <x v="3"/>
    <x v="0"/>
    <x v="2"/>
    <x v="2"/>
    <n v="4"/>
    <n v="15000"/>
    <n v="10"/>
    <n v="60000"/>
    <n v="54000"/>
    <n v="50400"/>
    <s v="Normal"/>
    <n v="900"/>
  </r>
  <r>
    <x v="90"/>
    <d v="2024-04-05T00:00:00"/>
    <x v="3"/>
    <s v="2024"/>
    <x v="6"/>
    <x v="0"/>
    <x v="0"/>
    <x v="1"/>
    <n v="3"/>
    <n v="15000"/>
    <n v="5"/>
    <n v="45000"/>
    <n v="42750"/>
    <n v="40950"/>
    <s v="Normal"/>
    <n v="600"/>
  </r>
  <r>
    <x v="91"/>
    <d v="2024-04-06T00:00:00"/>
    <x v="3"/>
    <s v="2024"/>
    <x v="6"/>
    <x v="0"/>
    <x v="3"/>
    <x v="4"/>
    <n v="1"/>
    <n v="85000"/>
    <n v="0"/>
    <n v="85000"/>
    <n v="85000"/>
    <n v="84400"/>
    <s v="Normal"/>
    <n v="600"/>
  </r>
  <r>
    <x v="92"/>
    <d v="2024-04-09T00:00:00"/>
    <x v="3"/>
    <s v="2024"/>
    <x v="2"/>
    <x v="1"/>
    <x v="4"/>
    <x v="0"/>
    <n v="1"/>
    <n v="2500"/>
    <n v="0"/>
    <n v="2500"/>
    <n v="2500"/>
    <n v="-15500"/>
    <s v="Normal"/>
    <n v="18000"/>
  </r>
  <r>
    <x v="93"/>
    <d v="2024-04-09T00:00:00"/>
    <x v="3"/>
    <s v="2024"/>
    <x v="1"/>
    <x v="0"/>
    <x v="4"/>
    <x v="5"/>
    <n v="8"/>
    <n v="45000"/>
    <n v="0"/>
    <n v="360000"/>
    <n v="360000"/>
    <n v="344000"/>
    <s v="Normal"/>
    <n v="2000"/>
  </r>
  <r>
    <x v="94"/>
    <d v="2024-04-10T00:00:00"/>
    <x v="3"/>
    <s v="2024"/>
    <x v="1"/>
    <x v="1"/>
    <x v="4"/>
    <x v="0"/>
    <n v="2"/>
    <n v="45000"/>
    <n v="10"/>
    <n v="90000"/>
    <n v="81000"/>
    <n v="77000"/>
    <s v="Normal"/>
    <n v="2000"/>
  </r>
  <r>
    <x v="95"/>
    <d v="2024-04-10T00:00:00"/>
    <x v="3"/>
    <s v="2024"/>
    <x v="3"/>
    <x v="1"/>
    <x v="1"/>
    <x v="4"/>
    <n v="6"/>
    <n v="85000"/>
    <n v="10"/>
    <n v="510000"/>
    <n v="459000"/>
    <n v="453600"/>
    <s v="Normal"/>
    <n v="900"/>
  </r>
  <r>
    <x v="96"/>
    <d v="2024-04-12T00:00:00"/>
    <x v="3"/>
    <s v="2024"/>
    <x v="3"/>
    <x v="1"/>
    <x v="1"/>
    <x v="4"/>
    <n v="2"/>
    <n v="120000"/>
    <n v="0"/>
    <n v="240000"/>
    <n v="240000"/>
    <n v="238200"/>
    <s v="Normal"/>
    <n v="900"/>
  </r>
  <r>
    <x v="97"/>
    <d v="2024-04-13T00:00:00"/>
    <x v="3"/>
    <s v="2024"/>
    <x v="3"/>
    <x v="0"/>
    <x v="1"/>
    <x v="0"/>
    <n v="7"/>
    <n v="120000"/>
    <n v="0"/>
    <n v="840000"/>
    <n v="840000"/>
    <n v="833700"/>
    <s v="Normal"/>
    <n v="900"/>
  </r>
  <r>
    <x v="98"/>
    <d v="2024-04-14T00:00:00"/>
    <x v="3"/>
    <s v="2024"/>
    <x v="5"/>
    <x v="1"/>
    <x v="5"/>
    <x v="3"/>
    <n v="9"/>
    <n v="1500"/>
    <n v="5"/>
    <n v="13500"/>
    <n v="12825"/>
    <n v="5625"/>
    <s v="Normal"/>
    <n v="800"/>
  </r>
  <r>
    <x v="99"/>
    <d v="2024-04-14T00:00:00"/>
    <x v="3"/>
    <s v="2024"/>
    <x v="1"/>
    <x v="1"/>
    <x v="3"/>
    <x v="1"/>
    <n v="5"/>
    <n v="2500"/>
    <n v="0"/>
    <n v="12500"/>
    <n v="12500"/>
    <n v="2500"/>
    <s v="Normal"/>
    <n v="2000"/>
  </r>
  <r>
    <x v="100"/>
    <d v="2024-04-15T00:00:00"/>
    <x v="3"/>
    <s v="2024"/>
    <x v="3"/>
    <x v="1"/>
    <x v="1"/>
    <x v="2"/>
    <n v="4"/>
    <n v="45000"/>
    <n v="0"/>
    <n v="180000"/>
    <n v="180000"/>
    <n v="176400"/>
    <s v="Normal"/>
    <n v="900"/>
  </r>
  <r>
    <x v="101"/>
    <d v="2024-04-16T00:00:00"/>
    <x v="3"/>
    <s v="2024"/>
    <x v="0"/>
    <x v="1"/>
    <x v="4"/>
    <x v="6"/>
    <n v="7"/>
    <n v="1500"/>
    <n v="10"/>
    <n v="10500"/>
    <n v="9450"/>
    <n v="-235550"/>
    <s v="Normal"/>
    <n v="35000"/>
  </r>
  <r>
    <x v="102"/>
    <d v="2024-04-18T00:00:00"/>
    <x v="3"/>
    <s v="2024"/>
    <x v="5"/>
    <x v="0"/>
    <x v="5"/>
    <x v="2"/>
    <n v="5"/>
    <n v="15000"/>
    <n v="0"/>
    <n v="75000"/>
    <n v="75000"/>
    <n v="71000"/>
    <s v="Normal"/>
    <n v="800"/>
  </r>
  <r>
    <x v="103"/>
    <d v="2024-04-19T00:00:00"/>
    <x v="3"/>
    <s v="2024"/>
    <x v="7"/>
    <x v="1"/>
    <x v="5"/>
    <x v="3"/>
    <n v="7"/>
    <n v="15000"/>
    <n v="0"/>
    <n v="105000"/>
    <n v="105000"/>
    <n v="-385000"/>
    <s v="Normal"/>
    <n v="70000"/>
  </r>
  <r>
    <x v="104"/>
    <d v="2024-04-19T00:00:00"/>
    <x v="3"/>
    <s v="2024"/>
    <x v="7"/>
    <x v="1"/>
    <x v="2"/>
    <x v="3"/>
    <n v="7"/>
    <n v="1500"/>
    <n v="0"/>
    <n v="10500"/>
    <n v="10500"/>
    <n v="-479500"/>
    <s v="Normal"/>
    <n v="70000"/>
  </r>
  <r>
    <x v="105"/>
    <d v="2024-04-20T00:00:00"/>
    <x v="3"/>
    <s v="2024"/>
    <x v="2"/>
    <x v="0"/>
    <x v="2"/>
    <x v="6"/>
    <n v="2"/>
    <n v="1500"/>
    <n v="10"/>
    <n v="3000"/>
    <n v="2700"/>
    <n v="-33300"/>
    <s v="Normal"/>
    <n v="18000"/>
  </r>
  <r>
    <x v="106"/>
    <d v="2024-04-21T00:00:00"/>
    <x v="3"/>
    <s v="2024"/>
    <x v="1"/>
    <x v="0"/>
    <x v="2"/>
    <x v="2"/>
    <n v="2"/>
    <n v="1500"/>
    <n v="0"/>
    <n v="3000"/>
    <n v="3000"/>
    <n v="-1000"/>
    <s v="Normal"/>
    <n v="2000"/>
  </r>
  <r>
    <x v="107"/>
    <d v="2024-04-21T00:00:00"/>
    <x v="3"/>
    <s v="2024"/>
    <x v="3"/>
    <x v="1"/>
    <x v="1"/>
    <x v="1"/>
    <n v="7"/>
    <n v="8000"/>
    <n v="0"/>
    <n v="56000"/>
    <n v="56000"/>
    <n v="49700"/>
    <s v="Normal"/>
    <n v="900"/>
  </r>
  <r>
    <x v="108"/>
    <d v="2024-04-22T00:00:00"/>
    <x v="3"/>
    <s v="2024"/>
    <x v="0"/>
    <x v="0"/>
    <x v="2"/>
    <x v="5"/>
    <n v="3"/>
    <n v="15000"/>
    <n v="0"/>
    <n v="45000"/>
    <n v="45000"/>
    <n v="-60000"/>
    <s v="Normal"/>
    <n v="35000"/>
  </r>
  <r>
    <x v="109"/>
    <d v="2024-04-24T00:00:00"/>
    <x v="3"/>
    <s v="2024"/>
    <x v="1"/>
    <x v="0"/>
    <x v="5"/>
    <x v="3"/>
    <n v="9"/>
    <n v="85000"/>
    <n v="0"/>
    <n v="765000"/>
    <n v="765000"/>
    <n v="747000"/>
    <s v="Normal"/>
    <n v="2000"/>
  </r>
  <r>
    <x v="110"/>
    <d v="2024-04-24T00:00:00"/>
    <x v="3"/>
    <s v="2024"/>
    <x v="1"/>
    <x v="0"/>
    <x v="4"/>
    <x v="1"/>
    <n v="4"/>
    <n v="45000"/>
    <n v="0"/>
    <n v="180000"/>
    <n v="180000"/>
    <n v="172000"/>
    <s v="Normal"/>
    <n v="2000"/>
  </r>
  <r>
    <x v="111"/>
    <d v="2024-04-24T00:00:00"/>
    <x v="3"/>
    <s v="2024"/>
    <x v="3"/>
    <x v="0"/>
    <x v="1"/>
    <x v="6"/>
    <n v="8"/>
    <n v="2500"/>
    <n v="0"/>
    <n v="20000"/>
    <n v="20000"/>
    <n v="12800"/>
    <s v="Normal"/>
    <n v="900"/>
  </r>
  <r>
    <x v="112"/>
    <d v="2024-04-24T00:00:00"/>
    <x v="3"/>
    <s v="2024"/>
    <x v="3"/>
    <x v="1"/>
    <x v="0"/>
    <x v="6"/>
    <n v="6"/>
    <n v="1500"/>
    <n v="5"/>
    <n v="9000"/>
    <n v="8550"/>
    <n v="3150"/>
    <s v="Normal"/>
    <n v="900"/>
  </r>
  <r>
    <x v="113"/>
    <d v="2024-04-27T00:00:00"/>
    <x v="3"/>
    <s v="2024"/>
    <x v="6"/>
    <x v="0"/>
    <x v="2"/>
    <x v="6"/>
    <n v="4"/>
    <n v="2500"/>
    <n v="0"/>
    <n v="10000"/>
    <n v="10000"/>
    <n v="7600"/>
    <s v="Normal"/>
    <n v="600"/>
  </r>
  <r>
    <x v="114"/>
    <d v="2024-04-28T00:00:00"/>
    <x v="3"/>
    <s v="2024"/>
    <x v="3"/>
    <x v="0"/>
    <x v="5"/>
    <x v="6"/>
    <n v="2"/>
    <n v="2500"/>
    <n v="10"/>
    <n v="5000"/>
    <n v="4500"/>
    <n v="2700"/>
    <s v="Normal"/>
    <n v="900"/>
  </r>
  <r>
    <x v="115"/>
    <d v="2024-04-28T00:00:00"/>
    <x v="3"/>
    <s v="2024"/>
    <x v="1"/>
    <x v="1"/>
    <x v="3"/>
    <x v="0"/>
    <n v="9"/>
    <n v="1500"/>
    <n v="0"/>
    <n v="13500"/>
    <n v="13500"/>
    <n v="-4500"/>
    <s v="Normal"/>
    <n v="2000"/>
  </r>
  <r>
    <x v="116"/>
    <d v="2024-04-28T00:00:00"/>
    <x v="3"/>
    <s v="2024"/>
    <x v="5"/>
    <x v="1"/>
    <x v="0"/>
    <x v="3"/>
    <n v="2"/>
    <n v="15000"/>
    <n v="10"/>
    <n v="30000"/>
    <n v="27000"/>
    <n v="25400"/>
    <s v="Normal"/>
    <n v="800"/>
  </r>
  <r>
    <x v="117"/>
    <d v="2024-05-02T00:00:00"/>
    <x v="4"/>
    <s v="2024"/>
    <x v="7"/>
    <x v="0"/>
    <x v="1"/>
    <x v="4"/>
    <n v="4"/>
    <n v="85000"/>
    <n v="5"/>
    <n v="340000"/>
    <n v="323000"/>
    <n v="43000"/>
    <s v="Normal"/>
    <n v="70000"/>
  </r>
  <r>
    <x v="118"/>
    <d v="2024-05-03T00:00:00"/>
    <x v="4"/>
    <s v="2024"/>
    <x v="0"/>
    <x v="0"/>
    <x v="4"/>
    <x v="3"/>
    <n v="8"/>
    <n v="8000"/>
    <n v="0"/>
    <n v="64000"/>
    <n v="64000"/>
    <n v="-216000"/>
    <s v="Normal"/>
    <n v="35000"/>
  </r>
  <r>
    <x v="119"/>
    <d v="2024-05-04T00:00:00"/>
    <x v="4"/>
    <s v="2024"/>
    <x v="6"/>
    <x v="0"/>
    <x v="0"/>
    <x v="5"/>
    <n v="3"/>
    <n v="2500"/>
    <n v="0"/>
    <n v="7500"/>
    <n v="7500"/>
    <n v="5700"/>
    <s v="Normal"/>
    <n v="600"/>
  </r>
  <r>
    <x v="120"/>
    <d v="2024-05-07T00:00:00"/>
    <x v="4"/>
    <s v="2024"/>
    <x v="7"/>
    <x v="0"/>
    <x v="5"/>
    <x v="2"/>
    <n v="8"/>
    <n v="120000"/>
    <n v="0"/>
    <n v="960000"/>
    <n v="960000"/>
    <n v="400000"/>
    <s v="Normal"/>
    <n v="70000"/>
  </r>
  <r>
    <x v="121"/>
    <d v="2024-05-07T00:00:00"/>
    <x v="4"/>
    <s v="2024"/>
    <x v="2"/>
    <x v="0"/>
    <x v="3"/>
    <x v="4"/>
    <n v="9"/>
    <n v="1500"/>
    <n v="5"/>
    <n v="13500"/>
    <n v="12825"/>
    <n v="-149175"/>
    <s v="Normal"/>
    <n v="18000"/>
  </r>
  <r>
    <x v="122"/>
    <d v="2024-05-08T00:00:00"/>
    <x v="4"/>
    <s v="2024"/>
    <x v="4"/>
    <x v="1"/>
    <x v="1"/>
    <x v="4"/>
    <n v="3"/>
    <n v="45000"/>
    <n v="5"/>
    <n v="135000"/>
    <n v="128250"/>
    <n v="83250"/>
    <s v="Normal"/>
    <n v="15000"/>
  </r>
  <r>
    <x v="123"/>
    <d v="2024-05-10T00:00:00"/>
    <x v="4"/>
    <s v="2024"/>
    <x v="6"/>
    <x v="0"/>
    <x v="4"/>
    <x v="1"/>
    <n v="8"/>
    <n v="85000"/>
    <n v="0"/>
    <n v="680000"/>
    <n v="680000"/>
    <n v="675200"/>
    <s v="Normal"/>
    <n v="600"/>
  </r>
  <r>
    <x v="124"/>
    <d v="2024-05-10T00:00:00"/>
    <x v="4"/>
    <s v="2024"/>
    <x v="4"/>
    <x v="0"/>
    <x v="3"/>
    <x v="6"/>
    <n v="6"/>
    <n v="120000"/>
    <n v="10"/>
    <n v="720000"/>
    <n v="648000"/>
    <n v="558000"/>
    <s v="Normal"/>
    <n v="15000"/>
  </r>
  <r>
    <x v="125"/>
    <d v="2024-05-11T00:00:00"/>
    <x v="4"/>
    <s v="2024"/>
    <x v="7"/>
    <x v="1"/>
    <x v="0"/>
    <x v="6"/>
    <n v="4"/>
    <n v="85000"/>
    <n v="15"/>
    <n v="340000"/>
    <n v="289000"/>
    <n v="9000"/>
    <s v="Normal"/>
    <n v="70000"/>
  </r>
  <r>
    <x v="126"/>
    <d v="2024-05-13T00:00:00"/>
    <x v="4"/>
    <s v="2024"/>
    <x v="1"/>
    <x v="1"/>
    <x v="0"/>
    <x v="2"/>
    <n v="5"/>
    <n v="85000"/>
    <n v="5"/>
    <n v="425000"/>
    <n v="403750"/>
    <n v="393750"/>
    <s v="Normal"/>
    <n v="2000"/>
  </r>
  <r>
    <x v="127"/>
    <d v="2024-05-14T00:00:00"/>
    <x v="4"/>
    <s v="2024"/>
    <x v="6"/>
    <x v="1"/>
    <x v="1"/>
    <x v="3"/>
    <n v="4"/>
    <n v="85000"/>
    <n v="0"/>
    <n v="340000"/>
    <n v="340000"/>
    <n v="337600"/>
    <s v="Normal"/>
    <n v="600"/>
  </r>
  <r>
    <x v="128"/>
    <d v="2024-05-15T00:00:00"/>
    <x v="4"/>
    <s v="2024"/>
    <x v="4"/>
    <x v="1"/>
    <x v="0"/>
    <x v="1"/>
    <n v="8"/>
    <n v="1500"/>
    <n v="10"/>
    <n v="12000"/>
    <n v="10800"/>
    <n v="-109200"/>
    <s v="Normal"/>
    <n v="15000"/>
  </r>
  <r>
    <x v="129"/>
    <d v="2024-05-15T00:00:00"/>
    <x v="4"/>
    <s v="2024"/>
    <x v="2"/>
    <x v="1"/>
    <x v="3"/>
    <x v="5"/>
    <n v="4"/>
    <n v="1500"/>
    <n v="5"/>
    <n v="6000"/>
    <n v="5700"/>
    <n v="-66300"/>
    <s v="Normal"/>
    <n v="18000"/>
  </r>
  <r>
    <x v="130"/>
    <d v="2024-05-16T00:00:00"/>
    <x v="4"/>
    <s v="2024"/>
    <x v="6"/>
    <x v="0"/>
    <x v="0"/>
    <x v="2"/>
    <n v="4"/>
    <n v="85000"/>
    <n v="5"/>
    <n v="340000"/>
    <n v="323000"/>
    <n v="320600"/>
    <s v="Normal"/>
    <n v="600"/>
  </r>
  <r>
    <x v="131"/>
    <d v="2024-05-17T00:00:00"/>
    <x v="4"/>
    <s v="2024"/>
    <x v="2"/>
    <x v="0"/>
    <x v="2"/>
    <x v="4"/>
    <n v="9"/>
    <n v="45000"/>
    <n v="10"/>
    <n v="405000"/>
    <n v="364500"/>
    <n v="202500"/>
    <s v="Normal"/>
    <n v="18000"/>
  </r>
  <r>
    <x v="132"/>
    <d v="2024-05-21T00:00:00"/>
    <x v="4"/>
    <s v="2024"/>
    <x v="1"/>
    <x v="1"/>
    <x v="3"/>
    <x v="6"/>
    <n v="3"/>
    <n v="2500"/>
    <n v="0"/>
    <n v="7500"/>
    <n v="7500"/>
    <n v="1500"/>
    <s v="Normal"/>
    <n v="2000"/>
  </r>
  <r>
    <x v="133"/>
    <d v="2024-05-21T00:00:00"/>
    <x v="4"/>
    <s v="2024"/>
    <x v="4"/>
    <x v="1"/>
    <x v="1"/>
    <x v="1"/>
    <n v="7"/>
    <n v="15000"/>
    <n v="5"/>
    <n v="105000"/>
    <n v="99750"/>
    <n v="-5250"/>
    <s v="Normal"/>
    <n v="15000"/>
  </r>
  <r>
    <x v="134"/>
    <d v="2024-05-22T00:00:00"/>
    <x v="4"/>
    <s v="2024"/>
    <x v="4"/>
    <x v="0"/>
    <x v="0"/>
    <x v="6"/>
    <n v="9"/>
    <n v="120000"/>
    <n v="10"/>
    <n v="1080000"/>
    <n v="972000"/>
    <n v="837000"/>
    <s v="Normal"/>
    <n v="15000"/>
  </r>
  <r>
    <x v="135"/>
    <d v="2024-05-22T00:00:00"/>
    <x v="4"/>
    <s v="2024"/>
    <x v="3"/>
    <x v="1"/>
    <x v="1"/>
    <x v="3"/>
    <n v="6"/>
    <n v="2500"/>
    <n v="0"/>
    <n v="15000"/>
    <n v="15000"/>
    <n v="9600"/>
    <s v="Normal"/>
    <n v="900"/>
  </r>
  <r>
    <x v="136"/>
    <d v="2024-05-23T00:00:00"/>
    <x v="4"/>
    <s v="2024"/>
    <x v="2"/>
    <x v="0"/>
    <x v="2"/>
    <x v="1"/>
    <n v="9"/>
    <n v="2500"/>
    <n v="10"/>
    <n v="22500"/>
    <n v="20250"/>
    <n v="-141750"/>
    <s v="Normal"/>
    <n v="18000"/>
  </r>
  <r>
    <x v="137"/>
    <d v="2024-05-26T00:00:00"/>
    <x v="4"/>
    <s v="2024"/>
    <x v="5"/>
    <x v="1"/>
    <x v="0"/>
    <x v="2"/>
    <n v="6"/>
    <n v="85000"/>
    <n v="10"/>
    <n v="510000"/>
    <n v="459000"/>
    <n v="454200"/>
    <s v="Normal"/>
    <n v="800"/>
  </r>
  <r>
    <x v="138"/>
    <d v="2024-05-30T00:00:00"/>
    <x v="4"/>
    <s v="2024"/>
    <x v="1"/>
    <x v="1"/>
    <x v="2"/>
    <x v="4"/>
    <n v="5"/>
    <n v="45000"/>
    <n v="0"/>
    <n v="225000"/>
    <n v="225000"/>
    <n v="215000"/>
    <s v="Normal"/>
    <n v="2000"/>
  </r>
  <r>
    <x v="139"/>
    <d v="2024-05-31T00:00:00"/>
    <x v="4"/>
    <s v="2024"/>
    <x v="7"/>
    <x v="1"/>
    <x v="4"/>
    <x v="1"/>
    <n v="5"/>
    <n v="2500"/>
    <n v="0"/>
    <n v="12500"/>
    <n v="12500"/>
    <n v="-337500"/>
    <s v="Normal"/>
    <n v="70000"/>
  </r>
  <r>
    <x v="140"/>
    <d v="2024-05-31T00:00:00"/>
    <x v="4"/>
    <s v="2024"/>
    <x v="7"/>
    <x v="0"/>
    <x v="4"/>
    <x v="1"/>
    <n v="1"/>
    <n v="8000"/>
    <n v="0"/>
    <n v="8000"/>
    <n v="8000"/>
    <n v="-62000"/>
    <s v="Normal"/>
    <n v="70000"/>
  </r>
  <r>
    <x v="141"/>
    <d v="2024-06-01T00:00:00"/>
    <x v="5"/>
    <s v="2024"/>
    <x v="2"/>
    <x v="1"/>
    <x v="5"/>
    <x v="0"/>
    <n v="5"/>
    <n v="120000"/>
    <n v="0"/>
    <n v="600000"/>
    <n v="600000"/>
    <n v="510000"/>
    <s v="Normal"/>
    <n v="18000"/>
  </r>
  <r>
    <x v="142"/>
    <d v="2024-06-03T00:00:00"/>
    <x v="5"/>
    <s v="2024"/>
    <x v="7"/>
    <x v="1"/>
    <x v="3"/>
    <x v="4"/>
    <n v="6"/>
    <n v="2500"/>
    <n v="5"/>
    <n v="15000"/>
    <n v="14250"/>
    <n v="-405750"/>
    <s v="Normal"/>
    <n v="70000"/>
  </r>
  <r>
    <x v="143"/>
    <d v="2024-06-05T00:00:00"/>
    <x v="5"/>
    <s v="2024"/>
    <x v="1"/>
    <x v="0"/>
    <x v="2"/>
    <x v="1"/>
    <n v="7"/>
    <n v="2500"/>
    <n v="5"/>
    <n v="17500"/>
    <n v="16625"/>
    <n v="2625"/>
    <s v="Normal"/>
    <n v="2000"/>
  </r>
  <r>
    <x v="144"/>
    <d v="2024-06-05T00:00:00"/>
    <x v="5"/>
    <s v="2024"/>
    <x v="3"/>
    <x v="1"/>
    <x v="4"/>
    <x v="2"/>
    <n v="2"/>
    <n v="15000"/>
    <n v="10"/>
    <n v="30000"/>
    <n v="27000"/>
    <n v="25200"/>
    <s v="Normal"/>
    <n v="900"/>
  </r>
  <r>
    <x v="145"/>
    <d v="2024-06-05T00:00:00"/>
    <x v="5"/>
    <s v="2024"/>
    <x v="6"/>
    <x v="1"/>
    <x v="2"/>
    <x v="0"/>
    <n v="6"/>
    <n v="85000"/>
    <n v="0"/>
    <n v="510000"/>
    <n v="510000"/>
    <n v="506400"/>
    <s v="Normal"/>
    <n v="600"/>
  </r>
  <r>
    <x v="146"/>
    <d v="2024-06-07T00:00:00"/>
    <x v="5"/>
    <s v="2024"/>
    <x v="7"/>
    <x v="0"/>
    <x v="2"/>
    <x v="4"/>
    <n v="3"/>
    <n v="2500"/>
    <n v="15"/>
    <n v="7500"/>
    <n v="6375"/>
    <n v="-203625"/>
    <s v="Normal"/>
    <n v="70000"/>
  </r>
  <r>
    <x v="147"/>
    <d v="2024-06-07T00:00:00"/>
    <x v="5"/>
    <s v="2024"/>
    <x v="7"/>
    <x v="0"/>
    <x v="3"/>
    <x v="1"/>
    <n v="3"/>
    <n v="45000"/>
    <n v="15"/>
    <n v="135000"/>
    <n v="114750"/>
    <n v="-95250"/>
    <s v="Normal"/>
    <n v="70000"/>
  </r>
  <r>
    <x v="148"/>
    <d v="2024-06-08T00:00:00"/>
    <x v="5"/>
    <s v="2024"/>
    <x v="4"/>
    <x v="0"/>
    <x v="1"/>
    <x v="6"/>
    <n v="6"/>
    <n v="45000"/>
    <n v="0"/>
    <n v="270000"/>
    <n v="270000"/>
    <n v="180000"/>
    <s v="Normal"/>
    <n v="15000"/>
  </r>
  <r>
    <x v="149"/>
    <d v="2024-06-08T00:00:00"/>
    <x v="5"/>
    <s v="2024"/>
    <x v="6"/>
    <x v="0"/>
    <x v="1"/>
    <x v="2"/>
    <n v="2"/>
    <n v="1500"/>
    <n v="10"/>
    <n v="3000"/>
    <n v="2700"/>
    <n v="1500"/>
    <s v="Normal"/>
    <n v="600"/>
  </r>
  <r>
    <x v="150"/>
    <d v="2024-06-10T00:00:00"/>
    <x v="5"/>
    <s v="2024"/>
    <x v="0"/>
    <x v="0"/>
    <x v="2"/>
    <x v="6"/>
    <n v="5"/>
    <n v="15000"/>
    <n v="10"/>
    <n v="75000"/>
    <n v="67500"/>
    <n v="-107500"/>
    <s v="Normal"/>
    <n v="35000"/>
  </r>
  <r>
    <x v="151"/>
    <d v="2024-06-10T00:00:00"/>
    <x v="5"/>
    <s v="2024"/>
    <x v="4"/>
    <x v="1"/>
    <x v="3"/>
    <x v="0"/>
    <n v="3"/>
    <n v="85000"/>
    <n v="0"/>
    <n v="255000"/>
    <n v="255000"/>
    <n v="210000"/>
    <s v="Normal"/>
    <n v="15000"/>
  </r>
  <r>
    <x v="152"/>
    <d v="2024-06-10T00:00:00"/>
    <x v="5"/>
    <s v="2024"/>
    <x v="4"/>
    <x v="1"/>
    <x v="3"/>
    <x v="0"/>
    <n v="8"/>
    <n v="1500"/>
    <n v="0"/>
    <n v="12000"/>
    <n v="12000"/>
    <n v="-108000"/>
    <s v="Normal"/>
    <n v="15000"/>
  </r>
  <r>
    <x v="153"/>
    <d v="2024-06-11T00:00:00"/>
    <x v="5"/>
    <s v="2024"/>
    <x v="2"/>
    <x v="0"/>
    <x v="3"/>
    <x v="2"/>
    <n v="2"/>
    <n v="8000"/>
    <n v="15"/>
    <n v="16000"/>
    <n v="13600"/>
    <n v="-22400"/>
    <s v="Normal"/>
    <n v="18000"/>
  </r>
  <r>
    <x v="154"/>
    <d v="2024-06-12T00:00:00"/>
    <x v="5"/>
    <s v="2024"/>
    <x v="0"/>
    <x v="1"/>
    <x v="2"/>
    <x v="3"/>
    <n v="8"/>
    <n v="1500"/>
    <n v="5"/>
    <n v="12000"/>
    <n v="11400"/>
    <n v="-268600"/>
    <s v="Normal"/>
    <n v="35000"/>
  </r>
  <r>
    <x v="155"/>
    <d v="2024-06-12T00:00:00"/>
    <x v="5"/>
    <s v="2024"/>
    <x v="1"/>
    <x v="1"/>
    <x v="0"/>
    <x v="1"/>
    <n v="8"/>
    <n v="8000"/>
    <n v="0"/>
    <n v="64000"/>
    <n v="64000"/>
    <n v="48000"/>
    <s v="Normal"/>
    <n v="2000"/>
  </r>
  <r>
    <x v="156"/>
    <d v="2024-06-12T00:00:00"/>
    <x v="5"/>
    <s v="2024"/>
    <x v="6"/>
    <x v="1"/>
    <x v="1"/>
    <x v="2"/>
    <n v="2"/>
    <n v="15000"/>
    <n v="10"/>
    <n v="30000"/>
    <n v="27000"/>
    <n v="25800"/>
    <s v="Normal"/>
    <n v="600"/>
  </r>
  <r>
    <x v="157"/>
    <d v="2024-06-14T00:00:00"/>
    <x v="5"/>
    <s v="2024"/>
    <x v="4"/>
    <x v="1"/>
    <x v="2"/>
    <x v="5"/>
    <n v="8"/>
    <n v="120000"/>
    <n v="10"/>
    <n v="960000"/>
    <n v="864000"/>
    <n v="744000"/>
    <s v="Normal"/>
    <n v="15000"/>
  </r>
  <r>
    <x v="158"/>
    <d v="2024-06-14T00:00:00"/>
    <x v="5"/>
    <s v="2024"/>
    <x v="4"/>
    <x v="1"/>
    <x v="0"/>
    <x v="6"/>
    <n v="1"/>
    <n v="1500"/>
    <n v="0"/>
    <n v="1500"/>
    <n v="1500"/>
    <n v="-13500"/>
    <s v="Normal"/>
    <n v="15000"/>
  </r>
  <r>
    <x v="159"/>
    <d v="2024-06-15T00:00:00"/>
    <x v="5"/>
    <s v="2024"/>
    <x v="1"/>
    <x v="1"/>
    <x v="5"/>
    <x v="1"/>
    <n v="5"/>
    <n v="1500"/>
    <n v="0"/>
    <n v="7500"/>
    <n v="7500"/>
    <n v="-2500"/>
    <s v="Normal"/>
    <n v="2000"/>
  </r>
  <r>
    <x v="160"/>
    <d v="2024-06-15T00:00:00"/>
    <x v="5"/>
    <s v="2024"/>
    <x v="1"/>
    <x v="0"/>
    <x v="1"/>
    <x v="4"/>
    <n v="5"/>
    <n v="2500"/>
    <n v="10"/>
    <n v="12500"/>
    <n v="11250"/>
    <n v="1250"/>
    <s v="Normal"/>
    <n v="2000"/>
  </r>
  <r>
    <x v="161"/>
    <d v="2024-06-16T00:00:00"/>
    <x v="5"/>
    <s v="2024"/>
    <x v="7"/>
    <x v="0"/>
    <x v="1"/>
    <x v="1"/>
    <n v="9"/>
    <n v="120000"/>
    <n v="0"/>
    <n v="1080000"/>
    <n v="1080000"/>
    <n v="450000"/>
    <s v="Normal"/>
    <n v="70000"/>
  </r>
  <r>
    <x v="162"/>
    <d v="2024-06-17T00:00:00"/>
    <x v="5"/>
    <s v="2024"/>
    <x v="3"/>
    <x v="1"/>
    <x v="1"/>
    <x v="4"/>
    <n v="9"/>
    <n v="8000"/>
    <n v="10"/>
    <n v="72000"/>
    <n v="64800"/>
    <n v="56700"/>
    <s v="Normal"/>
    <n v="900"/>
  </r>
  <r>
    <x v="163"/>
    <d v="2024-06-18T00:00:00"/>
    <x v="5"/>
    <s v="2024"/>
    <x v="4"/>
    <x v="0"/>
    <x v="3"/>
    <x v="2"/>
    <n v="7"/>
    <n v="1500"/>
    <n v="0"/>
    <n v="10500"/>
    <n v="10500"/>
    <n v="-94500"/>
    <s v="Normal"/>
    <n v="15000"/>
  </r>
  <r>
    <x v="164"/>
    <d v="2024-06-19T00:00:00"/>
    <x v="5"/>
    <s v="2024"/>
    <x v="5"/>
    <x v="0"/>
    <x v="5"/>
    <x v="6"/>
    <n v="6"/>
    <n v="85000"/>
    <n v="0"/>
    <n v="510000"/>
    <n v="510000"/>
    <n v="505200"/>
    <s v="Normal"/>
    <n v="800"/>
  </r>
  <r>
    <x v="165"/>
    <d v="2024-06-22T00:00:00"/>
    <x v="5"/>
    <s v="2024"/>
    <x v="0"/>
    <x v="1"/>
    <x v="0"/>
    <x v="2"/>
    <n v="1"/>
    <n v="15000"/>
    <n v="0"/>
    <n v="15000"/>
    <n v="15000"/>
    <n v="-20000"/>
    <s v="Normal"/>
    <n v="35000"/>
  </r>
  <r>
    <x v="166"/>
    <d v="2024-06-24T00:00:00"/>
    <x v="5"/>
    <s v="2024"/>
    <x v="3"/>
    <x v="0"/>
    <x v="1"/>
    <x v="5"/>
    <n v="2"/>
    <n v="85000"/>
    <n v="10"/>
    <n v="170000"/>
    <n v="153000"/>
    <n v="151200"/>
    <s v="Normal"/>
    <n v="900"/>
  </r>
  <r>
    <x v="167"/>
    <d v="2024-06-27T00:00:00"/>
    <x v="5"/>
    <s v="2024"/>
    <x v="2"/>
    <x v="1"/>
    <x v="3"/>
    <x v="0"/>
    <n v="2"/>
    <n v="120000"/>
    <n v="0"/>
    <n v="240000"/>
    <n v="240000"/>
    <n v="204000"/>
    <s v="Normal"/>
    <n v="18000"/>
  </r>
  <r>
    <x v="168"/>
    <d v="2024-06-29T00:00:00"/>
    <x v="5"/>
    <s v="2024"/>
    <x v="2"/>
    <x v="0"/>
    <x v="5"/>
    <x v="0"/>
    <n v="4"/>
    <n v="15000"/>
    <n v="10"/>
    <n v="60000"/>
    <n v="54000"/>
    <n v="-18000"/>
    <s v="Normal"/>
    <n v="18000"/>
  </r>
  <r>
    <x v="169"/>
    <d v="2024-06-30T00:00:00"/>
    <x v="5"/>
    <s v="2024"/>
    <x v="2"/>
    <x v="1"/>
    <x v="0"/>
    <x v="0"/>
    <n v="5"/>
    <n v="45000"/>
    <n v="10"/>
    <n v="225000"/>
    <n v="202500"/>
    <n v="112500"/>
    <s v="Normal"/>
    <n v="18000"/>
  </r>
  <r>
    <x v="170"/>
    <d v="2024-07-01T00:00:00"/>
    <x v="6"/>
    <s v="2024"/>
    <x v="0"/>
    <x v="1"/>
    <x v="3"/>
    <x v="6"/>
    <n v="7"/>
    <n v="1500"/>
    <n v="0"/>
    <n v="10500"/>
    <n v="10500"/>
    <n v="-234500"/>
    <s v="Normal"/>
    <n v="35000"/>
  </r>
  <r>
    <x v="171"/>
    <d v="2024-07-01T00:00:00"/>
    <x v="6"/>
    <s v="2024"/>
    <x v="6"/>
    <x v="1"/>
    <x v="3"/>
    <x v="2"/>
    <n v="3"/>
    <n v="45000"/>
    <n v="0"/>
    <n v="135000"/>
    <n v="135000"/>
    <n v="133200"/>
    <s v="Normal"/>
    <n v="600"/>
  </r>
  <r>
    <x v="172"/>
    <d v="2024-07-02T00:00:00"/>
    <x v="6"/>
    <s v="2024"/>
    <x v="5"/>
    <x v="0"/>
    <x v="1"/>
    <x v="2"/>
    <n v="1"/>
    <n v="2500"/>
    <n v="15"/>
    <n v="2500"/>
    <n v="2125"/>
    <n v="1325"/>
    <s v="Normal"/>
    <n v="800"/>
  </r>
  <r>
    <x v="173"/>
    <d v="2024-07-06T00:00:00"/>
    <x v="6"/>
    <s v="2024"/>
    <x v="4"/>
    <x v="1"/>
    <x v="2"/>
    <x v="4"/>
    <n v="9"/>
    <n v="15000"/>
    <n v="0"/>
    <n v="135000"/>
    <n v="135000"/>
    <n v="0"/>
    <s v="Normal"/>
    <n v="15000"/>
  </r>
  <r>
    <x v="174"/>
    <d v="2024-07-09T00:00:00"/>
    <x v="6"/>
    <s v="2024"/>
    <x v="7"/>
    <x v="0"/>
    <x v="4"/>
    <x v="1"/>
    <n v="1"/>
    <n v="15000"/>
    <n v="10"/>
    <n v="15000"/>
    <n v="13500"/>
    <n v="-56500"/>
    <s v="Normal"/>
    <n v="70000"/>
  </r>
  <r>
    <x v="175"/>
    <d v="2024-07-13T00:00:00"/>
    <x v="6"/>
    <s v="2024"/>
    <x v="3"/>
    <x v="0"/>
    <x v="5"/>
    <x v="4"/>
    <n v="2"/>
    <n v="8000"/>
    <n v="0"/>
    <n v="16000"/>
    <n v="16000"/>
    <n v="14200"/>
    <s v="Normal"/>
    <n v="900"/>
  </r>
  <r>
    <x v="176"/>
    <d v="2024-07-13T00:00:00"/>
    <x v="6"/>
    <s v="2024"/>
    <x v="1"/>
    <x v="1"/>
    <x v="4"/>
    <x v="1"/>
    <n v="3"/>
    <n v="2500"/>
    <n v="0"/>
    <n v="7500"/>
    <n v="7500"/>
    <n v="1500"/>
    <s v="Normal"/>
    <n v="2000"/>
  </r>
  <r>
    <x v="177"/>
    <d v="2024-07-13T00:00:00"/>
    <x v="6"/>
    <s v="2024"/>
    <x v="5"/>
    <x v="1"/>
    <x v="3"/>
    <x v="3"/>
    <n v="2"/>
    <n v="15000"/>
    <n v="5"/>
    <n v="30000"/>
    <n v="28500"/>
    <n v="26900"/>
    <s v="Normal"/>
    <n v="800"/>
  </r>
  <r>
    <x v="178"/>
    <d v="2024-07-13T00:00:00"/>
    <x v="6"/>
    <s v="2024"/>
    <x v="0"/>
    <x v="0"/>
    <x v="4"/>
    <x v="1"/>
    <n v="1"/>
    <n v="2500"/>
    <n v="10"/>
    <n v="2500"/>
    <n v="2250"/>
    <n v="-32750"/>
    <s v="Normal"/>
    <n v="35000"/>
  </r>
  <r>
    <x v="179"/>
    <d v="2024-07-15T00:00:00"/>
    <x v="6"/>
    <s v="2024"/>
    <x v="7"/>
    <x v="0"/>
    <x v="5"/>
    <x v="2"/>
    <n v="3"/>
    <n v="45000"/>
    <n v="10"/>
    <n v="135000"/>
    <n v="121500"/>
    <n v="-88500"/>
    <s v="Normal"/>
    <n v="70000"/>
  </r>
  <r>
    <x v="180"/>
    <d v="2024-07-15T00:00:00"/>
    <x v="6"/>
    <s v="2024"/>
    <x v="0"/>
    <x v="0"/>
    <x v="5"/>
    <x v="4"/>
    <n v="8"/>
    <n v="8000"/>
    <n v="0"/>
    <n v="64000"/>
    <n v="64000"/>
    <n v="-216000"/>
    <s v="Normal"/>
    <n v="35000"/>
  </r>
  <r>
    <x v="181"/>
    <d v="2024-07-15T00:00:00"/>
    <x v="6"/>
    <s v="2024"/>
    <x v="4"/>
    <x v="1"/>
    <x v="3"/>
    <x v="6"/>
    <n v="8"/>
    <n v="15000"/>
    <n v="0"/>
    <n v="120000"/>
    <n v="120000"/>
    <n v="0"/>
    <s v="Normal"/>
    <n v="15000"/>
  </r>
  <r>
    <x v="182"/>
    <d v="2024-07-16T00:00:00"/>
    <x v="6"/>
    <s v="2024"/>
    <x v="4"/>
    <x v="0"/>
    <x v="2"/>
    <x v="6"/>
    <n v="2"/>
    <n v="15000"/>
    <n v="15"/>
    <n v="30000"/>
    <n v="25500"/>
    <n v="-4500"/>
    <s v="Normal"/>
    <n v="15000"/>
  </r>
  <r>
    <x v="183"/>
    <d v="2024-07-18T00:00:00"/>
    <x v="6"/>
    <s v="2024"/>
    <x v="4"/>
    <x v="0"/>
    <x v="2"/>
    <x v="5"/>
    <n v="5"/>
    <n v="120000"/>
    <n v="5"/>
    <n v="600000"/>
    <n v="570000"/>
    <n v="495000"/>
    <s v="Normal"/>
    <n v="15000"/>
  </r>
  <r>
    <x v="184"/>
    <d v="2024-07-20T00:00:00"/>
    <x v="6"/>
    <s v="2024"/>
    <x v="5"/>
    <x v="1"/>
    <x v="1"/>
    <x v="3"/>
    <n v="2"/>
    <n v="120000"/>
    <n v="0"/>
    <n v="240000"/>
    <n v="240000"/>
    <n v="238400"/>
    <s v="Normal"/>
    <n v="800"/>
  </r>
  <r>
    <x v="185"/>
    <d v="2024-07-22T00:00:00"/>
    <x v="6"/>
    <s v="2024"/>
    <x v="0"/>
    <x v="0"/>
    <x v="3"/>
    <x v="1"/>
    <n v="6"/>
    <n v="45000"/>
    <n v="0"/>
    <n v="270000"/>
    <n v="270000"/>
    <n v="60000"/>
    <s v="Normal"/>
    <n v="35000"/>
  </r>
  <r>
    <x v="186"/>
    <d v="2024-07-22T00:00:00"/>
    <x v="6"/>
    <s v="2024"/>
    <x v="7"/>
    <x v="0"/>
    <x v="2"/>
    <x v="5"/>
    <n v="3"/>
    <n v="45000"/>
    <n v="0"/>
    <n v="135000"/>
    <n v="135000"/>
    <n v="-75000"/>
    <s v="Normal"/>
    <n v="70000"/>
  </r>
  <r>
    <x v="187"/>
    <d v="2024-07-22T00:00:00"/>
    <x v="6"/>
    <s v="2024"/>
    <x v="1"/>
    <x v="1"/>
    <x v="5"/>
    <x v="1"/>
    <n v="2"/>
    <n v="120000"/>
    <n v="0"/>
    <n v="240000"/>
    <n v="240000"/>
    <n v="236000"/>
    <s v="Normal"/>
    <n v="2000"/>
  </r>
  <r>
    <x v="188"/>
    <d v="2024-07-23T00:00:00"/>
    <x v="6"/>
    <s v="2024"/>
    <x v="1"/>
    <x v="1"/>
    <x v="5"/>
    <x v="4"/>
    <n v="8"/>
    <n v="15000"/>
    <n v="0"/>
    <n v="120000"/>
    <n v="120000"/>
    <n v="104000"/>
    <s v="Normal"/>
    <n v="2000"/>
  </r>
  <r>
    <x v="189"/>
    <d v="2024-07-24T00:00:00"/>
    <x v="6"/>
    <s v="2024"/>
    <x v="7"/>
    <x v="1"/>
    <x v="4"/>
    <x v="5"/>
    <n v="6"/>
    <n v="1500"/>
    <n v="0"/>
    <n v="9000"/>
    <n v="9000"/>
    <n v="-411000"/>
    <s v="Normal"/>
    <n v="70000"/>
  </r>
  <r>
    <x v="190"/>
    <d v="2024-07-27T00:00:00"/>
    <x v="6"/>
    <s v="2024"/>
    <x v="0"/>
    <x v="0"/>
    <x v="0"/>
    <x v="6"/>
    <n v="3"/>
    <n v="120000"/>
    <n v="10"/>
    <n v="360000"/>
    <n v="324000"/>
    <n v="219000"/>
    <s v="Normal"/>
    <n v="35000"/>
  </r>
  <r>
    <x v="191"/>
    <d v="2024-07-28T00:00:00"/>
    <x v="6"/>
    <s v="2024"/>
    <x v="3"/>
    <x v="1"/>
    <x v="1"/>
    <x v="3"/>
    <n v="5"/>
    <n v="8000"/>
    <n v="0"/>
    <n v="40000"/>
    <n v="40000"/>
    <n v="35500"/>
    <s v="Normal"/>
    <n v="900"/>
  </r>
  <r>
    <x v="192"/>
    <d v="2024-07-30T00:00:00"/>
    <x v="6"/>
    <s v="2024"/>
    <x v="4"/>
    <x v="1"/>
    <x v="4"/>
    <x v="4"/>
    <n v="4"/>
    <n v="45000"/>
    <n v="5"/>
    <n v="180000"/>
    <n v="171000"/>
    <n v="111000"/>
    <s v="Normal"/>
    <n v="15000"/>
  </r>
  <r>
    <x v="193"/>
    <d v="2024-08-02T00:00:00"/>
    <x v="7"/>
    <s v="2024"/>
    <x v="2"/>
    <x v="1"/>
    <x v="2"/>
    <x v="2"/>
    <n v="4"/>
    <n v="1500"/>
    <n v="0"/>
    <n v="6000"/>
    <n v="6000"/>
    <n v="-66000"/>
    <s v="Normal"/>
    <n v="18000"/>
  </r>
  <r>
    <x v="194"/>
    <d v="2024-08-03T00:00:00"/>
    <x v="7"/>
    <s v="2024"/>
    <x v="6"/>
    <x v="1"/>
    <x v="3"/>
    <x v="0"/>
    <n v="9"/>
    <n v="2500"/>
    <n v="0"/>
    <n v="22500"/>
    <n v="22500"/>
    <n v="17100"/>
    <s v="Normal"/>
    <n v="600"/>
  </r>
  <r>
    <x v="195"/>
    <d v="2024-08-03T00:00:00"/>
    <x v="7"/>
    <s v="2024"/>
    <x v="1"/>
    <x v="0"/>
    <x v="5"/>
    <x v="3"/>
    <n v="6"/>
    <n v="1500"/>
    <n v="0"/>
    <n v="9000"/>
    <n v="9000"/>
    <n v="-3000"/>
    <s v="Normal"/>
    <n v="2000"/>
  </r>
  <r>
    <x v="196"/>
    <d v="2024-08-03T00:00:00"/>
    <x v="7"/>
    <s v="2024"/>
    <x v="7"/>
    <x v="0"/>
    <x v="0"/>
    <x v="4"/>
    <n v="9"/>
    <n v="15000"/>
    <n v="0"/>
    <n v="135000"/>
    <n v="135000"/>
    <n v="-495000"/>
    <s v="Normal"/>
    <n v="70000"/>
  </r>
  <r>
    <x v="197"/>
    <d v="2024-08-04T00:00:00"/>
    <x v="7"/>
    <s v="2024"/>
    <x v="2"/>
    <x v="0"/>
    <x v="5"/>
    <x v="0"/>
    <n v="9"/>
    <n v="2500"/>
    <n v="15"/>
    <n v="22500"/>
    <n v="19125"/>
    <n v="-142875"/>
    <s v="Normal"/>
    <n v="18000"/>
  </r>
  <r>
    <x v="198"/>
    <d v="2024-08-04T00:00:00"/>
    <x v="7"/>
    <s v="2024"/>
    <x v="1"/>
    <x v="0"/>
    <x v="4"/>
    <x v="4"/>
    <n v="4"/>
    <n v="8000"/>
    <n v="5"/>
    <n v="32000"/>
    <n v="30400"/>
    <n v="22400"/>
    <s v="Normal"/>
    <n v="2000"/>
  </r>
  <r>
    <x v="199"/>
    <d v="2024-08-05T00:00:00"/>
    <x v="7"/>
    <s v="2024"/>
    <x v="3"/>
    <x v="1"/>
    <x v="1"/>
    <x v="5"/>
    <n v="4"/>
    <n v="15000"/>
    <n v="5"/>
    <n v="60000"/>
    <n v="57000"/>
    <n v="53400"/>
    <s v="Normal"/>
    <n v="900"/>
  </r>
  <r>
    <x v="200"/>
    <d v="2024-08-06T00:00:00"/>
    <x v="7"/>
    <s v="2024"/>
    <x v="6"/>
    <x v="0"/>
    <x v="0"/>
    <x v="4"/>
    <n v="5"/>
    <n v="1500"/>
    <n v="5"/>
    <n v="7500"/>
    <n v="7125"/>
    <n v="4125"/>
    <s v="Normal"/>
    <n v="600"/>
  </r>
  <r>
    <x v="201"/>
    <d v="2024-08-06T00:00:00"/>
    <x v="7"/>
    <s v="2024"/>
    <x v="2"/>
    <x v="1"/>
    <x v="5"/>
    <x v="5"/>
    <n v="5"/>
    <n v="85000"/>
    <n v="5"/>
    <n v="425000"/>
    <n v="403750"/>
    <n v="313750"/>
    <s v="Normal"/>
    <n v="18000"/>
  </r>
  <r>
    <x v="202"/>
    <d v="2024-08-06T00:00:00"/>
    <x v="7"/>
    <s v="2024"/>
    <x v="1"/>
    <x v="0"/>
    <x v="3"/>
    <x v="1"/>
    <n v="2"/>
    <n v="85000"/>
    <n v="5"/>
    <n v="170000"/>
    <n v="161500"/>
    <n v="157500"/>
    <s v="Normal"/>
    <n v="2000"/>
  </r>
  <r>
    <x v="203"/>
    <d v="2024-08-07T00:00:00"/>
    <x v="7"/>
    <s v="2024"/>
    <x v="5"/>
    <x v="1"/>
    <x v="5"/>
    <x v="0"/>
    <n v="9"/>
    <n v="15000"/>
    <n v="0"/>
    <n v="135000"/>
    <n v="135000"/>
    <n v="127800"/>
    <s v="Normal"/>
    <n v="800"/>
  </r>
  <r>
    <x v="204"/>
    <d v="2024-08-07T00:00:00"/>
    <x v="7"/>
    <s v="2024"/>
    <x v="6"/>
    <x v="0"/>
    <x v="4"/>
    <x v="1"/>
    <n v="6"/>
    <n v="120000"/>
    <n v="0"/>
    <n v="720000"/>
    <n v="720000"/>
    <n v="716400"/>
    <s v="Normal"/>
    <n v="600"/>
  </r>
  <r>
    <x v="205"/>
    <d v="2024-08-08T00:00:00"/>
    <x v="7"/>
    <s v="2024"/>
    <x v="0"/>
    <x v="1"/>
    <x v="3"/>
    <x v="1"/>
    <n v="6"/>
    <n v="85000"/>
    <n v="5"/>
    <n v="510000"/>
    <n v="484500"/>
    <n v="274500"/>
    <s v="Normal"/>
    <n v="35000"/>
  </r>
  <r>
    <x v="206"/>
    <d v="2024-08-10T00:00:00"/>
    <x v="7"/>
    <s v="2024"/>
    <x v="1"/>
    <x v="0"/>
    <x v="4"/>
    <x v="6"/>
    <n v="2"/>
    <n v="120000"/>
    <n v="0"/>
    <n v="240000"/>
    <n v="240000"/>
    <n v="236000"/>
    <s v="Normal"/>
    <n v="2000"/>
  </r>
  <r>
    <x v="207"/>
    <d v="2024-08-11T00:00:00"/>
    <x v="7"/>
    <s v="2024"/>
    <x v="2"/>
    <x v="0"/>
    <x v="5"/>
    <x v="3"/>
    <n v="3"/>
    <n v="45000"/>
    <n v="0"/>
    <n v="135000"/>
    <n v="135000"/>
    <n v="81000"/>
    <s v="Normal"/>
    <n v="18000"/>
  </r>
  <r>
    <x v="208"/>
    <d v="2024-08-12T00:00:00"/>
    <x v="7"/>
    <s v="2024"/>
    <x v="4"/>
    <x v="0"/>
    <x v="3"/>
    <x v="2"/>
    <n v="4"/>
    <n v="8000"/>
    <n v="5"/>
    <n v="32000"/>
    <n v="30400"/>
    <n v="-29600"/>
    <s v="Normal"/>
    <n v="15000"/>
  </r>
  <r>
    <x v="209"/>
    <d v="2024-08-12T00:00:00"/>
    <x v="7"/>
    <s v="2024"/>
    <x v="1"/>
    <x v="0"/>
    <x v="4"/>
    <x v="4"/>
    <n v="9"/>
    <n v="85000"/>
    <n v="0"/>
    <n v="765000"/>
    <n v="765000"/>
    <n v="747000"/>
    <s v="Normal"/>
    <n v="2000"/>
  </r>
  <r>
    <x v="210"/>
    <d v="2024-08-12T00:00:00"/>
    <x v="7"/>
    <s v="2024"/>
    <x v="7"/>
    <x v="1"/>
    <x v="5"/>
    <x v="6"/>
    <n v="8"/>
    <n v="15000"/>
    <n v="5"/>
    <n v="120000"/>
    <n v="114000"/>
    <n v="-446000"/>
    <s v="Normal"/>
    <n v="70000"/>
  </r>
  <r>
    <x v="211"/>
    <d v="2024-08-13T00:00:00"/>
    <x v="7"/>
    <s v="2024"/>
    <x v="4"/>
    <x v="1"/>
    <x v="4"/>
    <x v="2"/>
    <n v="8"/>
    <n v="15000"/>
    <n v="10"/>
    <n v="120000"/>
    <n v="108000"/>
    <n v="-12000"/>
    <s v="Normal"/>
    <n v="15000"/>
  </r>
  <r>
    <x v="212"/>
    <d v="2024-08-13T00:00:00"/>
    <x v="7"/>
    <s v="2024"/>
    <x v="4"/>
    <x v="0"/>
    <x v="3"/>
    <x v="6"/>
    <n v="6"/>
    <n v="2500"/>
    <n v="10"/>
    <n v="15000"/>
    <n v="13500"/>
    <n v="-76500"/>
    <s v="Normal"/>
    <n v="15000"/>
  </r>
  <r>
    <x v="213"/>
    <d v="2024-08-15T00:00:00"/>
    <x v="7"/>
    <s v="2024"/>
    <x v="2"/>
    <x v="1"/>
    <x v="0"/>
    <x v="0"/>
    <n v="7"/>
    <n v="45000"/>
    <n v="0"/>
    <n v="315000"/>
    <n v="315000"/>
    <n v="189000"/>
    <s v="Normal"/>
    <n v="18000"/>
  </r>
  <r>
    <x v="214"/>
    <d v="2024-08-16T00:00:00"/>
    <x v="7"/>
    <s v="2024"/>
    <x v="7"/>
    <x v="0"/>
    <x v="0"/>
    <x v="6"/>
    <n v="7"/>
    <n v="15000"/>
    <n v="10"/>
    <n v="105000"/>
    <n v="94500"/>
    <n v="-395500"/>
    <s v="Normal"/>
    <n v="70000"/>
  </r>
  <r>
    <x v="215"/>
    <d v="2024-08-16T00:00:00"/>
    <x v="7"/>
    <s v="2024"/>
    <x v="2"/>
    <x v="0"/>
    <x v="5"/>
    <x v="6"/>
    <n v="8"/>
    <n v="45000"/>
    <n v="10"/>
    <n v="360000"/>
    <n v="324000"/>
    <n v="180000"/>
    <s v="Normal"/>
    <n v="18000"/>
  </r>
  <r>
    <x v="216"/>
    <d v="2024-08-18T00:00:00"/>
    <x v="7"/>
    <s v="2024"/>
    <x v="0"/>
    <x v="0"/>
    <x v="4"/>
    <x v="5"/>
    <n v="1"/>
    <n v="15000"/>
    <n v="15"/>
    <n v="15000"/>
    <n v="12750"/>
    <n v="-22250"/>
    <s v="Normal"/>
    <n v="35000"/>
  </r>
  <r>
    <x v="217"/>
    <d v="2024-08-18T00:00:00"/>
    <x v="7"/>
    <s v="2024"/>
    <x v="5"/>
    <x v="0"/>
    <x v="2"/>
    <x v="5"/>
    <n v="9"/>
    <n v="2500"/>
    <n v="0"/>
    <n v="22500"/>
    <n v="22500"/>
    <n v="15300"/>
    <s v="Normal"/>
    <n v="800"/>
  </r>
  <r>
    <x v="218"/>
    <d v="2024-08-21T00:00:00"/>
    <x v="7"/>
    <s v="2024"/>
    <x v="7"/>
    <x v="1"/>
    <x v="1"/>
    <x v="2"/>
    <n v="4"/>
    <n v="85000"/>
    <n v="0"/>
    <n v="340000"/>
    <n v="340000"/>
    <n v="60000"/>
    <s v="Normal"/>
    <n v="70000"/>
  </r>
  <r>
    <x v="219"/>
    <d v="2024-08-21T00:00:00"/>
    <x v="7"/>
    <s v="2024"/>
    <x v="4"/>
    <x v="0"/>
    <x v="0"/>
    <x v="5"/>
    <n v="9"/>
    <n v="15000"/>
    <n v="0"/>
    <n v="135000"/>
    <n v="135000"/>
    <n v="0"/>
    <s v="Normal"/>
    <n v="15000"/>
  </r>
  <r>
    <x v="220"/>
    <d v="2024-08-22T00:00:00"/>
    <x v="7"/>
    <s v="2024"/>
    <x v="0"/>
    <x v="1"/>
    <x v="3"/>
    <x v="1"/>
    <n v="3"/>
    <n v="45000"/>
    <n v="0"/>
    <n v="135000"/>
    <n v="135000"/>
    <n v="30000"/>
    <s v="Normal"/>
    <n v="35000"/>
  </r>
  <r>
    <x v="221"/>
    <d v="2024-08-22T00:00:00"/>
    <x v="7"/>
    <s v="2024"/>
    <x v="4"/>
    <x v="1"/>
    <x v="4"/>
    <x v="4"/>
    <n v="9"/>
    <n v="85000"/>
    <n v="5"/>
    <n v="765000"/>
    <n v="726750"/>
    <n v="591750"/>
    <s v="Normal"/>
    <n v="15000"/>
  </r>
  <r>
    <x v="222"/>
    <d v="2024-08-23T00:00:00"/>
    <x v="7"/>
    <s v="2024"/>
    <x v="7"/>
    <x v="0"/>
    <x v="1"/>
    <x v="5"/>
    <n v="2"/>
    <n v="15000"/>
    <n v="0"/>
    <n v="30000"/>
    <n v="30000"/>
    <n v="-110000"/>
    <s v="Normal"/>
    <n v="70000"/>
  </r>
  <r>
    <x v="223"/>
    <d v="2024-08-24T00:00:00"/>
    <x v="7"/>
    <s v="2024"/>
    <x v="1"/>
    <x v="1"/>
    <x v="3"/>
    <x v="6"/>
    <n v="6"/>
    <n v="1500"/>
    <n v="0"/>
    <n v="9000"/>
    <n v="9000"/>
    <n v="-3000"/>
    <s v="Normal"/>
    <n v="2000"/>
  </r>
  <r>
    <x v="224"/>
    <d v="2024-08-26T00:00:00"/>
    <x v="7"/>
    <s v="2024"/>
    <x v="2"/>
    <x v="1"/>
    <x v="1"/>
    <x v="5"/>
    <n v="9"/>
    <n v="1500"/>
    <n v="0"/>
    <n v="13500"/>
    <n v="13500"/>
    <n v="-148500"/>
    <s v="Normal"/>
    <n v="18000"/>
  </r>
  <r>
    <x v="225"/>
    <d v="2024-08-26T00:00:00"/>
    <x v="7"/>
    <s v="2024"/>
    <x v="6"/>
    <x v="0"/>
    <x v="5"/>
    <x v="1"/>
    <n v="6"/>
    <n v="2500"/>
    <n v="10"/>
    <n v="15000"/>
    <n v="13500"/>
    <n v="9900"/>
    <s v="Normal"/>
    <n v="600"/>
  </r>
  <r>
    <x v="226"/>
    <d v="2024-08-28T00:00:00"/>
    <x v="7"/>
    <s v="2024"/>
    <x v="7"/>
    <x v="0"/>
    <x v="2"/>
    <x v="6"/>
    <n v="4"/>
    <n v="45000"/>
    <n v="5"/>
    <n v="180000"/>
    <n v="171000"/>
    <n v="-109000"/>
    <s v="Normal"/>
    <n v="70000"/>
  </r>
  <r>
    <x v="227"/>
    <d v="2024-08-28T00:00:00"/>
    <x v="7"/>
    <s v="2024"/>
    <x v="2"/>
    <x v="0"/>
    <x v="5"/>
    <x v="6"/>
    <n v="6"/>
    <n v="120000"/>
    <n v="0"/>
    <n v="720000"/>
    <n v="720000"/>
    <n v="612000"/>
    <s v="Normal"/>
    <n v="18000"/>
  </r>
  <r>
    <x v="228"/>
    <d v="2024-08-28T00:00:00"/>
    <x v="7"/>
    <s v="2024"/>
    <x v="2"/>
    <x v="0"/>
    <x v="5"/>
    <x v="6"/>
    <n v="8"/>
    <n v="8000"/>
    <n v="5"/>
    <n v="64000"/>
    <n v="60800"/>
    <n v="-83200"/>
    <s v="Normal"/>
    <n v="18000"/>
  </r>
  <r>
    <x v="229"/>
    <d v="2024-08-30T00:00:00"/>
    <x v="7"/>
    <s v="2024"/>
    <x v="7"/>
    <x v="0"/>
    <x v="5"/>
    <x v="2"/>
    <n v="6"/>
    <n v="2500"/>
    <n v="10"/>
    <n v="15000"/>
    <n v="13500"/>
    <n v="-406500"/>
    <s v="Normal"/>
    <n v="70000"/>
  </r>
  <r>
    <x v="230"/>
    <d v="2024-08-30T00:00:00"/>
    <x v="7"/>
    <s v="2024"/>
    <x v="3"/>
    <x v="1"/>
    <x v="3"/>
    <x v="5"/>
    <n v="4"/>
    <n v="120000"/>
    <n v="0"/>
    <n v="480000"/>
    <n v="480000"/>
    <n v="476400"/>
    <s v="Normal"/>
    <n v="900"/>
  </r>
  <r>
    <x v="231"/>
    <d v="2024-08-31T00:00:00"/>
    <x v="7"/>
    <s v="2024"/>
    <x v="2"/>
    <x v="1"/>
    <x v="5"/>
    <x v="0"/>
    <n v="1"/>
    <n v="15000"/>
    <n v="15"/>
    <n v="15000"/>
    <n v="12750"/>
    <n v="-5250"/>
    <s v="Normal"/>
    <n v="18000"/>
  </r>
  <r>
    <x v="232"/>
    <d v="2024-09-01T00:00:00"/>
    <x v="8"/>
    <s v="2024"/>
    <x v="7"/>
    <x v="1"/>
    <x v="3"/>
    <x v="0"/>
    <n v="1"/>
    <n v="8000"/>
    <n v="5"/>
    <n v="8000"/>
    <n v="7600"/>
    <n v="-62400"/>
    <s v="Normal"/>
    <n v="70000"/>
  </r>
  <r>
    <x v="233"/>
    <d v="2024-09-01T00:00:00"/>
    <x v="8"/>
    <s v="2024"/>
    <x v="4"/>
    <x v="0"/>
    <x v="1"/>
    <x v="3"/>
    <n v="4"/>
    <n v="2500"/>
    <n v="10"/>
    <n v="10000"/>
    <n v="9000"/>
    <n v="-51000"/>
    <s v="Normal"/>
    <n v="15000"/>
  </r>
  <r>
    <x v="234"/>
    <d v="2024-09-02T00:00:00"/>
    <x v="8"/>
    <s v="2024"/>
    <x v="5"/>
    <x v="0"/>
    <x v="1"/>
    <x v="1"/>
    <n v="8"/>
    <n v="120000"/>
    <n v="0"/>
    <n v="960000"/>
    <n v="960000"/>
    <n v="953600"/>
    <s v="Normal"/>
    <n v="800"/>
  </r>
  <r>
    <x v="235"/>
    <d v="2024-09-03T00:00:00"/>
    <x v="8"/>
    <s v="2024"/>
    <x v="5"/>
    <x v="1"/>
    <x v="2"/>
    <x v="0"/>
    <n v="4"/>
    <n v="45000"/>
    <n v="10"/>
    <n v="180000"/>
    <n v="162000"/>
    <n v="158800"/>
    <s v="Normal"/>
    <n v="800"/>
  </r>
  <r>
    <x v="236"/>
    <d v="2024-09-05T00:00:00"/>
    <x v="8"/>
    <s v="2024"/>
    <x v="7"/>
    <x v="1"/>
    <x v="1"/>
    <x v="6"/>
    <n v="8"/>
    <n v="85000"/>
    <n v="15"/>
    <n v="680000"/>
    <n v="578000"/>
    <n v="18000"/>
    <s v="Normal"/>
    <n v="70000"/>
  </r>
  <r>
    <x v="237"/>
    <d v="2024-09-06T00:00:00"/>
    <x v="8"/>
    <s v="2024"/>
    <x v="2"/>
    <x v="1"/>
    <x v="1"/>
    <x v="1"/>
    <n v="2"/>
    <n v="120000"/>
    <n v="0"/>
    <n v="240000"/>
    <n v="240000"/>
    <n v="204000"/>
    <s v="Normal"/>
    <n v="18000"/>
  </r>
  <r>
    <x v="238"/>
    <d v="2024-09-07T00:00:00"/>
    <x v="8"/>
    <s v="2024"/>
    <x v="7"/>
    <x v="0"/>
    <x v="4"/>
    <x v="5"/>
    <n v="6"/>
    <n v="2500"/>
    <n v="0"/>
    <n v="15000"/>
    <n v="15000"/>
    <n v="-405000"/>
    <s v="Normal"/>
    <n v="70000"/>
  </r>
  <r>
    <x v="239"/>
    <d v="2024-09-07T00:00:00"/>
    <x v="8"/>
    <s v="2024"/>
    <x v="5"/>
    <x v="0"/>
    <x v="3"/>
    <x v="3"/>
    <n v="1"/>
    <n v="1500"/>
    <n v="5"/>
    <n v="1500"/>
    <n v="1425"/>
    <n v="625"/>
    <s v="Normal"/>
    <n v="800"/>
  </r>
  <r>
    <x v="240"/>
    <d v="2024-09-07T00:00:00"/>
    <x v="8"/>
    <s v="2024"/>
    <x v="7"/>
    <x v="0"/>
    <x v="3"/>
    <x v="1"/>
    <n v="2"/>
    <n v="85000"/>
    <n v="0"/>
    <n v="170000"/>
    <n v="170000"/>
    <n v="30000"/>
    <s v="Normal"/>
    <n v="70000"/>
  </r>
  <r>
    <x v="241"/>
    <d v="2024-09-07T00:00:00"/>
    <x v="8"/>
    <s v="2024"/>
    <x v="3"/>
    <x v="1"/>
    <x v="3"/>
    <x v="1"/>
    <n v="6"/>
    <n v="2500"/>
    <n v="10"/>
    <n v="15000"/>
    <n v="13500"/>
    <n v="8100"/>
    <s v="Normal"/>
    <n v="900"/>
  </r>
  <r>
    <x v="242"/>
    <d v="2024-09-09T00:00:00"/>
    <x v="8"/>
    <s v="2024"/>
    <x v="2"/>
    <x v="1"/>
    <x v="5"/>
    <x v="2"/>
    <n v="4"/>
    <n v="2500"/>
    <n v="10"/>
    <n v="10000"/>
    <n v="9000"/>
    <n v="-63000"/>
    <s v="Normal"/>
    <n v="18000"/>
  </r>
  <r>
    <x v="243"/>
    <d v="2024-09-09T00:00:00"/>
    <x v="8"/>
    <s v="2024"/>
    <x v="2"/>
    <x v="0"/>
    <x v="0"/>
    <x v="4"/>
    <n v="1"/>
    <n v="120000"/>
    <n v="0"/>
    <n v="120000"/>
    <n v="120000"/>
    <n v="102000"/>
    <s v="Normal"/>
    <n v="18000"/>
  </r>
  <r>
    <x v="244"/>
    <d v="2024-09-10T00:00:00"/>
    <x v="8"/>
    <s v="2024"/>
    <x v="3"/>
    <x v="0"/>
    <x v="0"/>
    <x v="4"/>
    <n v="8"/>
    <n v="8000"/>
    <n v="0"/>
    <n v="64000"/>
    <n v="64000"/>
    <n v="56800"/>
    <s v="Normal"/>
    <n v="900"/>
  </r>
  <r>
    <x v="245"/>
    <d v="2024-09-10T00:00:00"/>
    <x v="8"/>
    <s v="2024"/>
    <x v="7"/>
    <x v="0"/>
    <x v="1"/>
    <x v="3"/>
    <n v="7"/>
    <n v="45000"/>
    <n v="0"/>
    <n v="315000"/>
    <n v="315000"/>
    <n v="-175000"/>
    <s v="Normal"/>
    <n v="70000"/>
  </r>
  <r>
    <x v="246"/>
    <d v="2024-09-11T00:00:00"/>
    <x v="8"/>
    <s v="2024"/>
    <x v="0"/>
    <x v="1"/>
    <x v="4"/>
    <x v="5"/>
    <n v="1"/>
    <n v="2500"/>
    <n v="0"/>
    <n v="2500"/>
    <n v="2500"/>
    <n v="-32500"/>
    <s v="Normal"/>
    <n v="35000"/>
  </r>
  <r>
    <x v="247"/>
    <d v="2024-09-11T00:00:00"/>
    <x v="8"/>
    <s v="2024"/>
    <x v="1"/>
    <x v="0"/>
    <x v="3"/>
    <x v="0"/>
    <n v="5"/>
    <n v="15000"/>
    <n v="0"/>
    <n v="75000"/>
    <n v="75000"/>
    <n v="65000"/>
    <s v="Normal"/>
    <n v="2000"/>
  </r>
  <r>
    <x v="248"/>
    <d v="2024-09-12T00:00:00"/>
    <x v="8"/>
    <s v="2024"/>
    <x v="1"/>
    <x v="0"/>
    <x v="0"/>
    <x v="0"/>
    <n v="2"/>
    <n v="1500"/>
    <n v="5"/>
    <n v="3000"/>
    <n v="2850"/>
    <n v="-1150"/>
    <s v="Normal"/>
    <n v="2000"/>
  </r>
  <r>
    <x v="249"/>
    <d v="2024-09-12T00:00:00"/>
    <x v="8"/>
    <s v="2024"/>
    <x v="6"/>
    <x v="0"/>
    <x v="3"/>
    <x v="3"/>
    <n v="6"/>
    <n v="1500"/>
    <n v="15"/>
    <n v="9000"/>
    <n v="7650"/>
    <n v="4050"/>
    <s v="Normal"/>
    <n v="600"/>
  </r>
  <r>
    <x v="250"/>
    <d v="2024-09-12T00:00:00"/>
    <x v="8"/>
    <s v="2024"/>
    <x v="2"/>
    <x v="0"/>
    <x v="2"/>
    <x v="4"/>
    <n v="5"/>
    <n v="120000"/>
    <n v="0"/>
    <n v="600000"/>
    <n v="600000"/>
    <n v="510000"/>
    <s v="Normal"/>
    <n v="18000"/>
  </r>
  <r>
    <x v="251"/>
    <d v="2024-09-14T00:00:00"/>
    <x v="8"/>
    <s v="2024"/>
    <x v="5"/>
    <x v="0"/>
    <x v="0"/>
    <x v="6"/>
    <n v="8"/>
    <n v="15000"/>
    <n v="10"/>
    <n v="120000"/>
    <n v="108000"/>
    <n v="101600"/>
    <s v="Normal"/>
    <n v="800"/>
  </r>
  <r>
    <x v="252"/>
    <d v="2024-09-14T00:00:00"/>
    <x v="8"/>
    <s v="2024"/>
    <x v="0"/>
    <x v="0"/>
    <x v="4"/>
    <x v="2"/>
    <n v="7"/>
    <n v="1500"/>
    <n v="10"/>
    <n v="10500"/>
    <n v="9450"/>
    <n v="-235550"/>
    <s v="Normal"/>
    <n v="35000"/>
  </r>
  <r>
    <x v="253"/>
    <d v="2024-09-17T00:00:00"/>
    <x v="8"/>
    <s v="2024"/>
    <x v="7"/>
    <x v="0"/>
    <x v="1"/>
    <x v="0"/>
    <n v="1"/>
    <n v="2500"/>
    <n v="5"/>
    <n v="2500"/>
    <n v="2375"/>
    <n v="-67625"/>
    <s v="Normal"/>
    <n v="70000"/>
  </r>
  <r>
    <x v="254"/>
    <d v="2024-09-22T00:00:00"/>
    <x v="8"/>
    <s v="2024"/>
    <x v="6"/>
    <x v="1"/>
    <x v="3"/>
    <x v="6"/>
    <n v="9"/>
    <n v="45000"/>
    <n v="0"/>
    <n v="405000"/>
    <n v="405000"/>
    <n v="399600"/>
    <s v="Normal"/>
    <n v="600"/>
  </r>
  <r>
    <x v="255"/>
    <d v="2024-09-24T00:00:00"/>
    <x v="8"/>
    <s v="2024"/>
    <x v="2"/>
    <x v="1"/>
    <x v="1"/>
    <x v="4"/>
    <n v="4"/>
    <n v="45000"/>
    <n v="0"/>
    <n v="180000"/>
    <n v="180000"/>
    <n v="108000"/>
    <s v="Normal"/>
    <n v="18000"/>
  </r>
  <r>
    <x v="256"/>
    <d v="2024-09-24T00:00:00"/>
    <x v="8"/>
    <s v="2024"/>
    <x v="6"/>
    <x v="0"/>
    <x v="4"/>
    <x v="0"/>
    <n v="1"/>
    <n v="45000"/>
    <n v="5"/>
    <n v="45000"/>
    <n v="42750"/>
    <n v="42150"/>
    <s v="Normal"/>
    <n v="600"/>
  </r>
  <r>
    <x v="257"/>
    <d v="2024-09-25T00:00:00"/>
    <x v="8"/>
    <s v="2024"/>
    <x v="0"/>
    <x v="0"/>
    <x v="5"/>
    <x v="3"/>
    <n v="4"/>
    <n v="85000"/>
    <n v="0"/>
    <n v="340000"/>
    <n v="340000"/>
    <n v="200000"/>
    <s v="Normal"/>
    <n v="35000"/>
  </r>
  <r>
    <x v="258"/>
    <d v="2024-09-26T00:00:00"/>
    <x v="8"/>
    <s v="2024"/>
    <x v="1"/>
    <x v="0"/>
    <x v="4"/>
    <x v="5"/>
    <n v="4"/>
    <n v="8000"/>
    <n v="0"/>
    <n v="32000"/>
    <n v="32000"/>
    <n v="24000"/>
    <s v="Normal"/>
    <n v="2000"/>
  </r>
  <r>
    <x v="259"/>
    <d v="2024-09-26T00:00:00"/>
    <x v="8"/>
    <s v="2024"/>
    <x v="6"/>
    <x v="1"/>
    <x v="5"/>
    <x v="2"/>
    <n v="6"/>
    <n v="15000"/>
    <n v="0"/>
    <n v="90000"/>
    <n v="90000"/>
    <n v="86400"/>
    <s v="Normal"/>
    <n v="600"/>
  </r>
  <r>
    <x v="260"/>
    <d v="2024-09-27T00:00:00"/>
    <x v="8"/>
    <s v="2024"/>
    <x v="1"/>
    <x v="0"/>
    <x v="3"/>
    <x v="0"/>
    <n v="5"/>
    <n v="2500"/>
    <n v="0"/>
    <n v="12500"/>
    <n v="12500"/>
    <n v="2500"/>
    <s v="Normal"/>
    <n v="2000"/>
  </r>
  <r>
    <x v="261"/>
    <d v="2024-09-27T00:00:00"/>
    <x v="8"/>
    <s v="2024"/>
    <x v="7"/>
    <x v="0"/>
    <x v="5"/>
    <x v="0"/>
    <n v="4"/>
    <n v="120000"/>
    <n v="5"/>
    <n v="480000"/>
    <n v="456000"/>
    <n v="176000"/>
    <s v="Normal"/>
    <n v="70000"/>
  </r>
  <r>
    <x v="262"/>
    <d v="2024-09-27T00:00:00"/>
    <x v="8"/>
    <s v="2024"/>
    <x v="5"/>
    <x v="1"/>
    <x v="2"/>
    <x v="2"/>
    <n v="8"/>
    <n v="2500"/>
    <n v="0"/>
    <n v="20000"/>
    <n v="20000"/>
    <n v="13600"/>
    <s v="Normal"/>
    <n v="800"/>
  </r>
  <r>
    <x v="263"/>
    <d v="2024-09-28T00:00:00"/>
    <x v="8"/>
    <s v="2024"/>
    <x v="2"/>
    <x v="0"/>
    <x v="4"/>
    <x v="4"/>
    <n v="7"/>
    <n v="1500"/>
    <n v="0"/>
    <n v="10500"/>
    <n v="10500"/>
    <n v="-115500"/>
    <s v="Normal"/>
    <n v="18000"/>
  </r>
  <r>
    <x v="264"/>
    <d v="2024-09-28T00:00:00"/>
    <x v="8"/>
    <s v="2024"/>
    <x v="4"/>
    <x v="0"/>
    <x v="2"/>
    <x v="0"/>
    <n v="3"/>
    <n v="45000"/>
    <n v="0"/>
    <n v="135000"/>
    <n v="135000"/>
    <n v="90000"/>
    <s v="Normal"/>
    <n v="15000"/>
  </r>
  <r>
    <x v="265"/>
    <d v="2024-09-28T00:00:00"/>
    <x v="8"/>
    <s v="2024"/>
    <x v="4"/>
    <x v="1"/>
    <x v="2"/>
    <x v="3"/>
    <n v="1"/>
    <n v="120000"/>
    <n v="0"/>
    <n v="120000"/>
    <n v="120000"/>
    <n v="105000"/>
    <s v="Normal"/>
    <n v="15000"/>
  </r>
  <r>
    <x v="266"/>
    <d v="2024-09-28T00:00:00"/>
    <x v="8"/>
    <s v="2024"/>
    <x v="2"/>
    <x v="0"/>
    <x v="2"/>
    <x v="6"/>
    <n v="2"/>
    <n v="1500"/>
    <n v="5"/>
    <n v="3000"/>
    <n v="2850"/>
    <n v="-33150"/>
    <s v="Normal"/>
    <n v="18000"/>
  </r>
  <r>
    <x v="267"/>
    <d v="2024-09-28T00:00:00"/>
    <x v="8"/>
    <s v="2024"/>
    <x v="1"/>
    <x v="0"/>
    <x v="5"/>
    <x v="0"/>
    <n v="4"/>
    <n v="1500"/>
    <n v="15"/>
    <n v="6000"/>
    <n v="5100"/>
    <n v="-2900"/>
    <s v="Normal"/>
    <n v="2000"/>
  </r>
  <r>
    <x v="268"/>
    <d v="2024-09-28T00:00:00"/>
    <x v="8"/>
    <s v="2024"/>
    <x v="4"/>
    <x v="1"/>
    <x v="3"/>
    <x v="2"/>
    <n v="1"/>
    <n v="85000"/>
    <n v="0"/>
    <n v="85000"/>
    <n v="85000"/>
    <n v="70000"/>
    <s v="Normal"/>
    <n v="15000"/>
  </r>
  <r>
    <x v="269"/>
    <d v="2024-09-30T00:00:00"/>
    <x v="8"/>
    <s v="2024"/>
    <x v="2"/>
    <x v="0"/>
    <x v="4"/>
    <x v="2"/>
    <n v="2"/>
    <n v="1500"/>
    <n v="0"/>
    <n v="3000"/>
    <n v="3000"/>
    <n v="-33000"/>
    <s v="Normal"/>
    <n v="18000"/>
  </r>
  <r>
    <x v="270"/>
    <d v="2024-09-30T00:00:00"/>
    <x v="8"/>
    <s v="2024"/>
    <x v="5"/>
    <x v="1"/>
    <x v="3"/>
    <x v="4"/>
    <n v="2"/>
    <n v="1500"/>
    <n v="0"/>
    <n v="3000"/>
    <n v="3000"/>
    <n v="1400"/>
    <s v="Normal"/>
    <n v="800"/>
  </r>
  <r>
    <x v="271"/>
    <d v="2024-09-30T00:00:00"/>
    <x v="8"/>
    <s v="2024"/>
    <x v="1"/>
    <x v="1"/>
    <x v="2"/>
    <x v="5"/>
    <n v="2"/>
    <n v="85000"/>
    <n v="10"/>
    <n v="170000"/>
    <n v="153000"/>
    <n v="149000"/>
    <s v="Normal"/>
    <n v="2000"/>
  </r>
  <r>
    <x v="272"/>
    <d v="2024-10-01T00:00:00"/>
    <x v="9"/>
    <s v="2024"/>
    <x v="5"/>
    <x v="0"/>
    <x v="4"/>
    <x v="6"/>
    <n v="5"/>
    <n v="85000"/>
    <n v="0"/>
    <n v="425000"/>
    <n v="425000"/>
    <n v="421000"/>
    <s v="Normal"/>
    <n v="800"/>
  </r>
  <r>
    <x v="273"/>
    <d v="2024-10-03T00:00:00"/>
    <x v="9"/>
    <s v="2024"/>
    <x v="1"/>
    <x v="1"/>
    <x v="5"/>
    <x v="5"/>
    <n v="2"/>
    <n v="1500"/>
    <n v="0"/>
    <n v="3000"/>
    <n v="3000"/>
    <n v="-1000"/>
    <s v="Normal"/>
    <n v="2000"/>
  </r>
  <r>
    <x v="274"/>
    <d v="2024-10-05T00:00:00"/>
    <x v="9"/>
    <s v="2024"/>
    <x v="1"/>
    <x v="0"/>
    <x v="5"/>
    <x v="4"/>
    <n v="7"/>
    <n v="1500"/>
    <n v="5"/>
    <n v="10500"/>
    <n v="9975"/>
    <n v="-4025"/>
    <s v="Normal"/>
    <n v="2000"/>
  </r>
  <r>
    <x v="275"/>
    <d v="2024-10-05T00:00:00"/>
    <x v="9"/>
    <s v="2024"/>
    <x v="7"/>
    <x v="1"/>
    <x v="4"/>
    <x v="5"/>
    <n v="1"/>
    <n v="15000"/>
    <n v="10"/>
    <n v="15000"/>
    <n v="13500"/>
    <n v="-56500"/>
    <s v="Normal"/>
    <n v="70000"/>
  </r>
  <r>
    <x v="276"/>
    <d v="2024-10-08T00:00:00"/>
    <x v="9"/>
    <s v="2024"/>
    <x v="5"/>
    <x v="1"/>
    <x v="1"/>
    <x v="6"/>
    <n v="8"/>
    <n v="2500"/>
    <n v="0"/>
    <n v="20000"/>
    <n v="20000"/>
    <n v="13600"/>
    <s v="Normal"/>
    <n v="800"/>
  </r>
  <r>
    <x v="277"/>
    <d v="2024-10-08T00:00:00"/>
    <x v="9"/>
    <s v="2024"/>
    <x v="5"/>
    <x v="0"/>
    <x v="3"/>
    <x v="6"/>
    <n v="3"/>
    <n v="120000"/>
    <n v="0"/>
    <n v="360000"/>
    <n v="360000"/>
    <n v="357600"/>
    <s v="Normal"/>
    <n v="800"/>
  </r>
  <r>
    <x v="278"/>
    <d v="2024-10-10T00:00:00"/>
    <x v="9"/>
    <s v="2024"/>
    <x v="2"/>
    <x v="0"/>
    <x v="1"/>
    <x v="4"/>
    <n v="3"/>
    <n v="8000"/>
    <n v="0"/>
    <n v="24000"/>
    <n v="24000"/>
    <n v="-30000"/>
    <s v="Normal"/>
    <n v="18000"/>
  </r>
  <r>
    <x v="279"/>
    <d v="2024-10-10T00:00:00"/>
    <x v="9"/>
    <s v="2024"/>
    <x v="1"/>
    <x v="0"/>
    <x v="2"/>
    <x v="0"/>
    <n v="7"/>
    <n v="120000"/>
    <n v="0"/>
    <n v="840000"/>
    <n v="840000"/>
    <n v="826000"/>
    <s v="Normal"/>
    <n v="2000"/>
  </r>
  <r>
    <x v="280"/>
    <d v="2024-10-11T00:00:00"/>
    <x v="9"/>
    <s v="2024"/>
    <x v="6"/>
    <x v="0"/>
    <x v="3"/>
    <x v="1"/>
    <n v="5"/>
    <n v="45000"/>
    <n v="5"/>
    <n v="225000"/>
    <n v="213750"/>
    <n v="210750"/>
    <s v="Normal"/>
    <n v="600"/>
  </r>
  <r>
    <x v="281"/>
    <d v="2024-10-11T00:00:00"/>
    <x v="9"/>
    <s v="2024"/>
    <x v="6"/>
    <x v="1"/>
    <x v="1"/>
    <x v="5"/>
    <n v="5"/>
    <n v="8000"/>
    <n v="5"/>
    <n v="40000"/>
    <n v="38000"/>
    <n v="35000"/>
    <s v="Normal"/>
    <n v="600"/>
  </r>
  <r>
    <x v="282"/>
    <d v="2024-10-11T00:00:00"/>
    <x v="9"/>
    <s v="2024"/>
    <x v="2"/>
    <x v="0"/>
    <x v="5"/>
    <x v="5"/>
    <n v="9"/>
    <n v="85000"/>
    <n v="0"/>
    <n v="765000"/>
    <n v="765000"/>
    <n v="603000"/>
    <s v="Normal"/>
    <n v="18000"/>
  </r>
  <r>
    <x v="283"/>
    <d v="2024-10-12T00:00:00"/>
    <x v="9"/>
    <s v="2024"/>
    <x v="2"/>
    <x v="0"/>
    <x v="2"/>
    <x v="2"/>
    <n v="1"/>
    <n v="45000"/>
    <n v="10"/>
    <n v="45000"/>
    <n v="40500"/>
    <n v="22500"/>
    <s v="Normal"/>
    <n v="18000"/>
  </r>
  <r>
    <x v="284"/>
    <d v="2024-10-12T00:00:00"/>
    <x v="9"/>
    <s v="2024"/>
    <x v="1"/>
    <x v="1"/>
    <x v="2"/>
    <x v="1"/>
    <n v="9"/>
    <n v="2500"/>
    <n v="0"/>
    <n v="22500"/>
    <n v="22500"/>
    <n v="4500"/>
    <s v="Normal"/>
    <n v="2000"/>
  </r>
  <r>
    <x v="285"/>
    <d v="2024-10-12T00:00:00"/>
    <x v="9"/>
    <s v="2024"/>
    <x v="4"/>
    <x v="0"/>
    <x v="5"/>
    <x v="1"/>
    <n v="2"/>
    <n v="8000"/>
    <n v="0"/>
    <n v="16000"/>
    <n v="16000"/>
    <n v="-14000"/>
    <s v="Normal"/>
    <n v="15000"/>
  </r>
  <r>
    <x v="286"/>
    <d v="2024-10-12T00:00:00"/>
    <x v="9"/>
    <s v="2024"/>
    <x v="3"/>
    <x v="0"/>
    <x v="1"/>
    <x v="3"/>
    <n v="7"/>
    <n v="2500"/>
    <n v="0"/>
    <n v="17500"/>
    <n v="17500"/>
    <n v="11200"/>
    <s v="Normal"/>
    <n v="900"/>
  </r>
  <r>
    <x v="287"/>
    <d v="2024-10-15T00:00:00"/>
    <x v="9"/>
    <s v="2024"/>
    <x v="2"/>
    <x v="1"/>
    <x v="1"/>
    <x v="5"/>
    <n v="9"/>
    <n v="15000"/>
    <n v="0"/>
    <n v="135000"/>
    <n v="135000"/>
    <n v="-27000"/>
    <s v="Normal"/>
    <n v="18000"/>
  </r>
  <r>
    <x v="288"/>
    <d v="2024-10-17T00:00:00"/>
    <x v="9"/>
    <s v="2024"/>
    <x v="6"/>
    <x v="1"/>
    <x v="5"/>
    <x v="0"/>
    <n v="1"/>
    <n v="8000"/>
    <n v="15"/>
    <n v="8000"/>
    <n v="6800"/>
    <n v="6200"/>
    <s v="Normal"/>
    <n v="600"/>
  </r>
  <r>
    <x v="289"/>
    <d v="2024-10-18T00:00:00"/>
    <x v="9"/>
    <s v="2024"/>
    <x v="7"/>
    <x v="1"/>
    <x v="1"/>
    <x v="0"/>
    <n v="5"/>
    <n v="120000"/>
    <n v="5"/>
    <n v="600000"/>
    <n v="570000"/>
    <n v="220000"/>
    <s v="Normal"/>
    <n v="70000"/>
  </r>
  <r>
    <x v="290"/>
    <d v="2024-10-19T00:00:00"/>
    <x v="9"/>
    <s v="2024"/>
    <x v="4"/>
    <x v="0"/>
    <x v="1"/>
    <x v="4"/>
    <n v="4"/>
    <n v="2500"/>
    <n v="10"/>
    <n v="10000"/>
    <n v="9000"/>
    <n v="-51000"/>
    <s v="Normal"/>
    <n v="15000"/>
  </r>
  <r>
    <x v="291"/>
    <d v="2024-10-19T00:00:00"/>
    <x v="9"/>
    <s v="2024"/>
    <x v="0"/>
    <x v="0"/>
    <x v="3"/>
    <x v="5"/>
    <n v="7"/>
    <n v="45000"/>
    <n v="0"/>
    <n v="315000"/>
    <n v="315000"/>
    <n v="70000"/>
    <s v="Normal"/>
    <n v="35000"/>
  </r>
  <r>
    <x v="292"/>
    <d v="2024-10-20T00:00:00"/>
    <x v="9"/>
    <s v="2024"/>
    <x v="4"/>
    <x v="0"/>
    <x v="4"/>
    <x v="0"/>
    <n v="8"/>
    <n v="8000"/>
    <n v="10"/>
    <n v="64000"/>
    <n v="57600"/>
    <n v="-62400"/>
    <s v="Normal"/>
    <n v="15000"/>
  </r>
  <r>
    <x v="293"/>
    <d v="2024-10-23T00:00:00"/>
    <x v="9"/>
    <s v="2024"/>
    <x v="3"/>
    <x v="1"/>
    <x v="3"/>
    <x v="5"/>
    <n v="5"/>
    <n v="2500"/>
    <n v="10"/>
    <n v="12500"/>
    <n v="11250"/>
    <n v="6750"/>
    <s v="Normal"/>
    <n v="900"/>
  </r>
  <r>
    <x v="294"/>
    <d v="2024-10-27T00:00:00"/>
    <x v="9"/>
    <s v="2024"/>
    <x v="4"/>
    <x v="0"/>
    <x v="3"/>
    <x v="3"/>
    <n v="3"/>
    <n v="120000"/>
    <n v="5"/>
    <n v="360000"/>
    <n v="342000"/>
    <n v="297000"/>
    <s v="Normal"/>
    <n v="15000"/>
  </r>
  <r>
    <x v="295"/>
    <d v="2024-10-27T00:00:00"/>
    <x v="9"/>
    <s v="2024"/>
    <x v="3"/>
    <x v="1"/>
    <x v="3"/>
    <x v="5"/>
    <n v="8"/>
    <n v="8000"/>
    <n v="5"/>
    <n v="64000"/>
    <n v="60800"/>
    <n v="53600"/>
    <s v="Normal"/>
    <n v="900"/>
  </r>
  <r>
    <x v="296"/>
    <d v="2024-10-29T00:00:00"/>
    <x v="9"/>
    <s v="2024"/>
    <x v="6"/>
    <x v="1"/>
    <x v="3"/>
    <x v="6"/>
    <n v="4"/>
    <n v="1500"/>
    <n v="5"/>
    <n v="6000"/>
    <n v="5700"/>
    <n v="3300"/>
    <s v="Normal"/>
    <n v="600"/>
  </r>
  <r>
    <x v="297"/>
    <d v="2024-10-30T00:00:00"/>
    <x v="9"/>
    <s v="2024"/>
    <x v="6"/>
    <x v="0"/>
    <x v="5"/>
    <x v="5"/>
    <n v="6"/>
    <n v="1500"/>
    <n v="0"/>
    <n v="9000"/>
    <n v="9000"/>
    <n v="5400"/>
    <s v="Normal"/>
    <n v="600"/>
  </r>
  <r>
    <x v="298"/>
    <d v="2024-11-01T00:00:00"/>
    <x v="10"/>
    <s v="2024"/>
    <x v="4"/>
    <x v="1"/>
    <x v="0"/>
    <x v="4"/>
    <n v="3"/>
    <n v="8000"/>
    <n v="15"/>
    <n v="24000"/>
    <n v="20400"/>
    <n v="-24600"/>
    <s v="Normal"/>
    <n v="15000"/>
  </r>
  <r>
    <x v="299"/>
    <d v="2024-11-01T00:00:00"/>
    <x v="10"/>
    <s v="2024"/>
    <x v="7"/>
    <x v="1"/>
    <x v="4"/>
    <x v="5"/>
    <n v="3"/>
    <n v="1500"/>
    <n v="10"/>
    <n v="4500"/>
    <n v="4050"/>
    <n v="-205950"/>
    <s v="Normal"/>
    <n v="70000"/>
  </r>
  <r>
    <x v="300"/>
    <d v="2024-11-02T00:00:00"/>
    <x v="10"/>
    <s v="2024"/>
    <x v="3"/>
    <x v="1"/>
    <x v="2"/>
    <x v="6"/>
    <n v="8"/>
    <n v="120000"/>
    <n v="0"/>
    <n v="960000"/>
    <n v="960000"/>
    <n v="952800"/>
    <s v="Normal"/>
    <n v="900"/>
  </r>
  <r>
    <x v="301"/>
    <d v="2024-11-03T00:00:00"/>
    <x v="10"/>
    <s v="2024"/>
    <x v="2"/>
    <x v="0"/>
    <x v="0"/>
    <x v="5"/>
    <n v="9"/>
    <n v="15000"/>
    <n v="0"/>
    <n v="135000"/>
    <n v="135000"/>
    <n v="-27000"/>
    <s v="Normal"/>
    <n v="18000"/>
  </r>
  <r>
    <x v="302"/>
    <d v="2024-11-03T00:00:00"/>
    <x v="10"/>
    <s v="2024"/>
    <x v="5"/>
    <x v="0"/>
    <x v="1"/>
    <x v="6"/>
    <n v="6"/>
    <n v="8000"/>
    <n v="5"/>
    <n v="48000"/>
    <n v="45600"/>
    <n v="40800"/>
    <s v="Normal"/>
    <n v="800"/>
  </r>
  <r>
    <x v="303"/>
    <d v="2024-11-04T00:00:00"/>
    <x v="10"/>
    <s v="2024"/>
    <x v="7"/>
    <x v="0"/>
    <x v="1"/>
    <x v="5"/>
    <n v="9"/>
    <n v="8000"/>
    <n v="0"/>
    <n v="72000"/>
    <n v="72000"/>
    <n v="-558000"/>
    <s v="Normal"/>
    <n v="70000"/>
  </r>
  <r>
    <x v="304"/>
    <d v="2024-11-05T00:00:00"/>
    <x v="10"/>
    <s v="2024"/>
    <x v="1"/>
    <x v="0"/>
    <x v="3"/>
    <x v="1"/>
    <n v="9"/>
    <n v="15000"/>
    <n v="0"/>
    <n v="135000"/>
    <n v="135000"/>
    <n v="117000"/>
    <s v="Normal"/>
    <n v="2000"/>
  </r>
  <r>
    <x v="305"/>
    <d v="2024-11-07T00:00:00"/>
    <x v="10"/>
    <s v="2024"/>
    <x v="6"/>
    <x v="1"/>
    <x v="4"/>
    <x v="5"/>
    <n v="1"/>
    <n v="8000"/>
    <n v="5"/>
    <n v="8000"/>
    <n v="7600"/>
    <n v="7000"/>
    <s v="Normal"/>
    <n v="600"/>
  </r>
  <r>
    <x v="306"/>
    <d v="2024-11-08T00:00:00"/>
    <x v="10"/>
    <s v="2024"/>
    <x v="1"/>
    <x v="0"/>
    <x v="5"/>
    <x v="3"/>
    <n v="6"/>
    <n v="2500"/>
    <n v="15"/>
    <n v="15000"/>
    <n v="12750"/>
    <n v="750"/>
    <s v="Normal"/>
    <n v="2000"/>
  </r>
  <r>
    <x v="307"/>
    <d v="2024-11-10T00:00:00"/>
    <x v="10"/>
    <s v="2024"/>
    <x v="7"/>
    <x v="0"/>
    <x v="5"/>
    <x v="4"/>
    <n v="5"/>
    <n v="2500"/>
    <n v="0"/>
    <n v="12500"/>
    <n v="12500"/>
    <n v="-337500"/>
    <s v="Normal"/>
    <n v="70000"/>
  </r>
  <r>
    <x v="308"/>
    <d v="2024-11-11T00:00:00"/>
    <x v="10"/>
    <s v="2024"/>
    <x v="5"/>
    <x v="1"/>
    <x v="3"/>
    <x v="2"/>
    <n v="6"/>
    <n v="120000"/>
    <n v="0"/>
    <n v="720000"/>
    <n v="720000"/>
    <n v="715200"/>
    <s v="Normal"/>
    <n v="800"/>
  </r>
  <r>
    <x v="309"/>
    <d v="2024-11-12T00:00:00"/>
    <x v="10"/>
    <s v="2024"/>
    <x v="4"/>
    <x v="0"/>
    <x v="2"/>
    <x v="2"/>
    <n v="9"/>
    <n v="45000"/>
    <n v="5"/>
    <n v="405000"/>
    <n v="384750"/>
    <n v="249750"/>
    <s v="Normal"/>
    <n v="15000"/>
  </r>
  <r>
    <x v="310"/>
    <d v="2024-11-13T00:00:00"/>
    <x v="10"/>
    <s v="2024"/>
    <x v="4"/>
    <x v="0"/>
    <x v="4"/>
    <x v="0"/>
    <n v="2"/>
    <n v="8000"/>
    <n v="0"/>
    <n v="16000"/>
    <n v="16000"/>
    <n v="-14000"/>
    <s v="Normal"/>
    <n v="15000"/>
  </r>
  <r>
    <x v="311"/>
    <d v="2024-11-15T00:00:00"/>
    <x v="10"/>
    <s v="2024"/>
    <x v="4"/>
    <x v="0"/>
    <x v="5"/>
    <x v="5"/>
    <n v="9"/>
    <n v="45000"/>
    <n v="0"/>
    <n v="405000"/>
    <n v="405000"/>
    <n v="270000"/>
    <s v="Normal"/>
    <n v="15000"/>
  </r>
  <r>
    <x v="312"/>
    <d v="2024-11-17T00:00:00"/>
    <x v="10"/>
    <s v="2024"/>
    <x v="4"/>
    <x v="0"/>
    <x v="3"/>
    <x v="2"/>
    <n v="8"/>
    <n v="2500"/>
    <n v="0"/>
    <n v="20000"/>
    <n v="20000"/>
    <n v="-100000"/>
    <s v="Normal"/>
    <n v="15000"/>
  </r>
  <r>
    <x v="313"/>
    <d v="2024-11-17T00:00:00"/>
    <x v="10"/>
    <s v="2024"/>
    <x v="7"/>
    <x v="0"/>
    <x v="5"/>
    <x v="4"/>
    <n v="9"/>
    <n v="120000"/>
    <n v="10"/>
    <n v="1080000"/>
    <n v="972000"/>
    <n v="342000"/>
    <s v="Normal"/>
    <n v="70000"/>
  </r>
  <r>
    <x v="314"/>
    <d v="2024-11-17T00:00:00"/>
    <x v="10"/>
    <s v="2024"/>
    <x v="1"/>
    <x v="1"/>
    <x v="4"/>
    <x v="0"/>
    <n v="5"/>
    <n v="15000"/>
    <n v="0"/>
    <n v="75000"/>
    <n v="75000"/>
    <n v="65000"/>
    <s v="Normal"/>
    <n v="2000"/>
  </r>
  <r>
    <x v="315"/>
    <d v="2024-11-17T00:00:00"/>
    <x v="10"/>
    <s v="2024"/>
    <x v="6"/>
    <x v="0"/>
    <x v="0"/>
    <x v="2"/>
    <n v="2"/>
    <n v="2500"/>
    <n v="0"/>
    <n v="5000"/>
    <n v="5000"/>
    <n v="3800"/>
    <s v="Normal"/>
    <n v="600"/>
  </r>
  <r>
    <x v="316"/>
    <d v="2024-11-18T00:00:00"/>
    <x v="10"/>
    <s v="2024"/>
    <x v="1"/>
    <x v="1"/>
    <x v="1"/>
    <x v="6"/>
    <n v="4"/>
    <n v="85000"/>
    <n v="5"/>
    <n v="340000"/>
    <n v="323000"/>
    <n v="315000"/>
    <s v="Normal"/>
    <n v="2000"/>
  </r>
  <r>
    <x v="317"/>
    <d v="2024-11-19T00:00:00"/>
    <x v="10"/>
    <s v="2024"/>
    <x v="7"/>
    <x v="0"/>
    <x v="4"/>
    <x v="2"/>
    <n v="9"/>
    <n v="8000"/>
    <n v="0"/>
    <n v="72000"/>
    <n v="72000"/>
    <n v="-558000"/>
    <s v="Normal"/>
    <n v="70000"/>
  </r>
  <r>
    <x v="318"/>
    <d v="2024-11-19T00:00:00"/>
    <x v="10"/>
    <s v="2024"/>
    <x v="7"/>
    <x v="1"/>
    <x v="5"/>
    <x v="1"/>
    <n v="9"/>
    <n v="8000"/>
    <n v="15"/>
    <n v="72000"/>
    <n v="61200"/>
    <n v="-568800"/>
    <s v="Normal"/>
    <n v="70000"/>
  </r>
  <r>
    <x v="319"/>
    <d v="2024-11-19T00:00:00"/>
    <x v="10"/>
    <s v="2024"/>
    <x v="2"/>
    <x v="0"/>
    <x v="2"/>
    <x v="5"/>
    <n v="3"/>
    <n v="45000"/>
    <n v="10"/>
    <n v="135000"/>
    <n v="121500"/>
    <n v="67500"/>
    <s v="Normal"/>
    <n v="18000"/>
  </r>
  <r>
    <x v="320"/>
    <d v="2024-11-20T00:00:00"/>
    <x v="10"/>
    <s v="2024"/>
    <x v="5"/>
    <x v="0"/>
    <x v="0"/>
    <x v="6"/>
    <n v="4"/>
    <n v="2500"/>
    <n v="0"/>
    <n v="10000"/>
    <n v="10000"/>
    <n v="6800"/>
    <s v="Normal"/>
    <n v="800"/>
  </r>
  <r>
    <x v="321"/>
    <d v="2024-11-23T00:00:00"/>
    <x v="10"/>
    <s v="2024"/>
    <x v="4"/>
    <x v="1"/>
    <x v="1"/>
    <x v="4"/>
    <n v="1"/>
    <n v="8000"/>
    <n v="0"/>
    <n v="8000"/>
    <n v="8000"/>
    <n v="-7000"/>
    <s v="Normal"/>
    <n v="15000"/>
  </r>
  <r>
    <x v="322"/>
    <d v="2024-11-25T00:00:00"/>
    <x v="10"/>
    <s v="2024"/>
    <x v="2"/>
    <x v="0"/>
    <x v="4"/>
    <x v="3"/>
    <n v="9"/>
    <n v="15000"/>
    <n v="5"/>
    <n v="135000"/>
    <n v="128250"/>
    <n v="-33750"/>
    <s v="Normal"/>
    <n v="18000"/>
  </r>
  <r>
    <x v="323"/>
    <d v="2024-11-27T00:00:00"/>
    <x v="10"/>
    <s v="2024"/>
    <x v="7"/>
    <x v="1"/>
    <x v="5"/>
    <x v="6"/>
    <n v="8"/>
    <n v="85000"/>
    <n v="0"/>
    <n v="680000"/>
    <n v="680000"/>
    <n v="120000"/>
    <s v="Normal"/>
    <n v="70000"/>
  </r>
  <r>
    <x v="324"/>
    <d v="2024-11-28T00:00:00"/>
    <x v="10"/>
    <s v="2024"/>
    <x v="1"/>
    <x v="0"/>
    <x v="0"/>
    <x v="2"/>
    <n v="3"/>
    <n v="2500"/>
    <n v="0"/>
    <n v="7500"/>
    <n v="7500"/>
    <n v="1500"/>
    <s v="Normal"/>
    <n v="2000"/>
  </r>
  <r>
    <x v="325"/>
    <d v="2024-11-30T00:00:00"/>
    <x v="10"/>
    <s v="2024"/>
    <x v="1"/>
    <x v="1"/>
    <x v="5"/>
    <x v="0"/>
    <n v="2"/>
    <n v="45000"/>
    <n v="0"/>
    <n v="90000"/>
    <n v="90000"/>
    <n v="86000"/>
    <s v="Normal"/>
    <n v="2000"/>
  </r>
  <r>
    <x v="326"/>
    <d v="2024-12-02T00:00:00"/>
    <x v="11"/>
    <s v="2024"/>
    <x v="0"/>
    <x v="0"/>
    <x v="5"/>
    <x v="2"/>
    <n v="8"/>
    <n v="2500"/>
    <n v="10"/>
    <n v="20000"/>
    <n v="18000"/>
    <n v="-262000"/>
    <s v="Normal"/>
    <n v="35000"/>
  </r>
  <r>
    <x v="327"/>
    <d v="2024-12-04T00:00:00"/>
    <x v="11"/>
    <s v="2024"/>
    <x v="7"/>
    <x v="1"/>
    <x v="0"/>
    <x v="6"/>
    <n v="1"/>
    <n v="1500"/>
    <n v="15"/>
    <n v="1500"/>
    <n v="1275"/>
    <n v="-68725"/>
    <s v="Normal"/>
    <n v="70000"/>
  </r>
  <r>
    <x v="328"/>
    <d v="2024-12-04T00:00:00"/>
    <x v="11"/>
    <s v="2024"/>
    <x v="2"/>
    <x v="1"/>
    <x v="4"/>
    <x v="1"/>
    <n v="8"/>
    <n v="15000"/>
    <n v="0"/>
    <n v="120000"/>
    <n v="120000"/>
    <n v="-24000"/>
    <s v="Normal"/>
    <n v="18000"/>
  </r>
  <r>
    <x v="329"/>
    <d v="2024-12-04T00:00:00"/>
    <x v="11"/>
    <s v="2024"/>
    <x v="6"/>
    <x v="0"/>
    <x v="3"/>
    <x v="5"/>
    <n v="3"/>
    <n v="85000"/>
    <n v="0"/>
    <n v="255000"/>
    <n v="255000"/>
    <n v="253200"/>
    <s v="Normal"/>
    <n v="600"/>
  </r>
  <r>
    <x v="330"/>
    <d v="2024-12-05T00:00:00"/>
    <x v="11"/>
    <s v="2024"/>
    <x v="0"/>
    <x v="1"/>
    <x v="0"/>
    <x v="0"/>
    <n v="5"/>
    <n v="2500"/>
    <n v="10"/>
    <n v="12500"/>
    <n v="11250"/>
    <n v="-163750"/>
    <s v="Normal"/>
    <n v="35000"/>
  </r>
  <r>
    <x v="331"/>
    <d v="2024-12-06T00:00:00"/>
    <x v="11"/>
    <s v="2024"/>
    <x v="2"/>
    <x v="0"/>
    <x v="5"/>
    <x v="5"/>
    <n v="3"/>
    <n v="45000"/>
    <n v="5"/>
    <n v="135000"/>
    <n v="128250"/>
    <n v="74250"/>
    <s v="Normal"/>
    <n v="18000"/>
  </r>
  <r>
    <x v="332"/>
    <d v="2024-12-07T00:00:00"/>
    <x v="11"/>
    <s v="2024"/>
    <x v="5"/>
    <x v="1"/>
    <x v="2"/>
    <x v="1"/>
    <n v="1"/>
    <n v="15000"/>
    <n v="5"/>
    <n v="15000"/>
    <n v="14250"/>
    <n v="13450"/>
    <s v="Normal"/>
    <n v="800"/>
  </r>
  <r>
    <x v="333"/>
    <d v="2024-12-09T00:00:00"/>
    <x v="11"/>
    <s v="2024"/>
    <x v="0"/>
    <x v="0"/>
    <x v="0"/>
    <x v="5"/>
    <n v="6"/>
    <n v="8000"/>
    <n v="10"/>
    <n v="48000"/>
    <n v="43200"/>
    <n v="-166800"/>
    <s v="Normal"/>
    <n v="35000"/>
  </r>
  <r>
    <x v="334"/>
    <d v="2024-12-09T00:00:00"/>
    <x v="11"/>
    <s v="2024"/>
    <x v="2"/>
    <x v="1"/>
    <x v="4"/>
    <x v="1"/>
    <n v="6"/>
    <n v="1500"/>
    <n v="0"/>
    <n v="9000"/>
    <n v="9000"/>
    <n v="-99000"/>
    <s v="Normal"/>
    <n v="18000"/>
  </r>
  <r>
    <x v="335"/>
    <d v="2024-12-10T00:00:00"/>
    <x v="11"/>
    <s v="2024"/>
    <x v="4"/>
    <x v="1"/>
    <x v="4"/>
    <x v="3"/>
    <n v="5"/>
    <n v="1500"/>
    <n v="10"/>
    <n v="7500"/>
    <n v="6750"/>
    <n v="-68250"/>
    <s v="Normal"/>
    <n v="15000"/>
  </r>
  <r>
    <x v="336"/>
    <d v="2024-12-12T00:00:00"/>
    <x v="11"/>
    <s v="2024"/>
    <x v="1"/>
    <x v="1"/>
    <x v="1"/>
    <x v="1"/>
    <n v="5"/>
    <n v="120000"/>
    <n v="5"/>
    <n v="600000"/>
    <n v="570000"/>
    <n v="560000"/>
    <s v="Normal"/>
    <n v="2000"/>
  </r>
  <r>
    <x v="337"/>
    <d v="2024-12-13T00:00:00"/>
    <x v="11"/>
    <s v="2024"/>
    <x v="3"/>
    <x v="1"/>
    <x v="0"/>
    <x v="3"/>
    <n v="2"/>
    <n v="45000"/>
    <n v="5"/>
    <n v="90000"/>
    <n v="85500"/>
    <n v="83700"/>
    <s v="Normal"/>
    <n v="900"/>
  </r>
  <r>
    <x v="338"/>
    <d v="2024-12-14T00:00:00"/>
    <x v="11"/>
    <s v="2024"/>
    <x v="6"/>
    <x v="1"/>
    <x v="4"/>
    <x v="5"/>
    <n v="4"/>
    <n v="85000"/>
    <n v="0"/>
    <n v="340000"/>
    <n v="340000"/>
    <n v="337600"/>
    <s v="Normal"/>
    <n v="600"/>
  </r>
  <r>
    <x v="339"/>
    <d v="2024-12-14T00:00:00"/>
    <x v="11"/>
    <s v="2024"/>
    <x v="1"/>
    <x v="1"/>
    <x v="5"/>
    <x v="0"/>
    <n v="8"/>
    <n v="45000"/>
    <n v="5"/>
    <n v="360000"/>
    <n v="342000"/>
    <n v="326000"/>
    <s v="Normal"/>
    <n v="2000"/>
  </r>
  <r>
    <x v="340"/>
    <d v="2024-12-17T00:00:00"/>
    <x v="11"/>
    <s v="2024"/>
    <x v="0"/>
    <x v="1"/>
    <x v="2"/>
    <x v="3"/>
    <n v="2"/>
    <n v="85000"/>
    <n v="0"/>
    <n v="170000"/>
    <n v="170000"/>
    <n v="100000"/>
    <s v="Normal"/>
    <n v="35000"/>
  </r>
  <r>
    <x v="341"/>
    <d v="2024-12-18T00:00:00"/>
    <x v="11"/>
    <s v="2024"/>
    <x v="6"/>
    <x v="0"/>
    <x v="1"/>
    <x v="3"/>
    <n v="3"/>
    <n v="8000"/>
    <n v="15"/>
    <n v="24000"/>
    <n v="20400"/>
    <n v="18600"/>
    <s v="Normal"/>
    <n v="600"/>
  </r>
  <r>
    <x v="342"/>
    <d v="2024-12-19T00:00:00"/>
    <x v="11"/>
    <s v="2024"/>
    <x v="0"/>
    <x v="1"/>
    <x v="1"/>
    <x v="2"/>
    <n v="8"/>
    <n v="1500"/>
    <n v="5"/>
    <n v="12000"/>
    <n v="11400"/>
    <n v="-268600"/>
    <s v="Normal"/>
    <n v="35000"/>
  </r>
  <r>
    <x v="343"/>
    <d v="2024-12-23T00:00:00"/>
    <x v="11"/>
    <s v="2024"/>
    <x v="7"/>
    <x v="1"/>
    <x v="1"/>
    <x v="1"/>
    <n v="4"/>
    <n v="15000"/>
    <n v="0"/>
    <n v="60000"/>
    <n v="60000"/>
    <n v="-220000"/>
    <s v="Normal"/>
    <n v="70000"/>
  </r>
  <r>
    <x v="344"/>
    <d v="2024-12-24T00:00:00"/>
    <x v="11"/>
    <s v="2024"/>
    <x v="3"/>
    <x v="1"/>
    <x v="3"/>
    <x v="5"/>
    <n v="7"/>
    <n v="45000"/>
    <n v="10"/>
    <n v="315000"/>
    <n v="283500"/>
    <n v="277200"/>
    <s v="Normal"/>
    <n v="900"/>
  </r>
  <r>
    <x v="345"/>
    <d v="2024-12-25T00:00:00"/>
    <x v="11"/>
    <s v="2024"/>
    <x v="1"/>
    <x v="1"/>
    <x v="1"/>
    <x v="6"/>
    <n v="7"/>
    <n v="15000"/>
    <n v="0"/>
    <n v="105000"/>
    <n v="105000"/>
    <n v="91000"/>
    <s v="Normal"/>
    <n v="2000"/>
  </r>
  <r>
    <x v="346"/>
    <d v="2024-12-26T00:00:00"/>
    <x v="11"/>
    <s v="2024"/>
    <x v="1"/>
    <x v="1"/>
    <x v="1"/>
    <x v="4"/>
    <n v="2"/>
    <n v="15000"/>
    <n v="5"/>
    <n v="30000"/>
    <n v="28500"/>
    <n v="24500"/>
    <s v="Normal"/>
    <n v="2000"/>
  </r>
  <r>
    <x v="347"/>
    <d v="2024-12-28T00:00:00"/>
    <x v="11"/>
    <s v="2024"/>
    <x v="4"/>
    <x v="0"/>
    <x v="2"/>
    <x v="4"/>
    <n v="1"/>
    <n v="1500"/>
    <n v="0"/>
    <n v="1500"/>
    <n v="1500"/>
    <n v="-13500"/>
    <s v="Normal"/>
    <n v="15000"/>
  </r>
  <r>
    <x v="348"/>
    <d v="2024-12-28T00:00:00"/>
    <x v="11"/>
    <s v="2024"/>
    <x v="5"/>
    <x v="1"/>
    <x v="3"/>
    <x v="4"/>
    <n v="1"/>
    <n v="85000"/>
    <n v="10"/>
    <n v="85000"/>
    <n v="76500"/>
    <n v="75700"/>
    <s v="Normal"/>
    <n v="800"/>
  </r>
  <r>
    <x v="349"/>
    <d v="2024-12-29T00:00:00"/>
    <x v="11"/>
    <s v="2024"/>
    <x v="7"/>
    <x v="1"/>
    <x v="4"/>
    <x v="6"/>
    <n v="2"/>
    <n v="8000"/>
    <n v="15"/>
    <n v="16000"/>
    <n v="13600"/>
    <n v="-126400"/>
    <s v="Normal"/>
    <n v="70000"/>
  </r>
  <r>
    <x v="350"/>
    <d v="2025-01-01T00:00:00"/>
    <x v="0"/>
    <s v="2025"/>
    <x v="6"/>
    <x v="1"/>
    <x v="3"/>
    <x v="1"/>
    <n v="2"/>
    <n v="120000"/>
    <n v="5"/>
    <n v="240000"/>
    <n v="228000"/>
    <n v="226800"/>
    <s v="Normal"/>
    <n v="600"/>
  </r>
  <r>
    <x v="351"/>
    <d v="2025-01-02T00:00:00"/>
    <x v="0"/>
    <s v="2025"/>
    <x v="0"/>
    <x v="0"/>
    <x v="3"/>
    <x v="5"/>
    <n v="3"/>
    <n v="2500"/>
    <n v="10"/>
    <n v="7500"/>
    <n v="6750"/>
    <n v="-98250"/>
    <s v="Normal"/>
    <n v="35000"/>
  </r>
  <r>
    <x v="352"/>
    <d v="2025-01-05T00:00:00"/>
    <x v="0"/>
    <s v="2025"/>
    <x v="0"/>
    <x v="0"/>
    <x v="2"/>
    <x v="1"/>
    <n v="2"/>
    <n v="1500"/>
    <n v="10"/>
    <n v="3000"/>
    <n v="2700"/>
    <n v="-67300"/>
    <s v="Normal"/>
    <n v="35000"/>
  </r>
  <r>
    <x v="353"/>
    <d v="2025-01-05T00:00:00"/>
    <x v="0"/>
    <s v="2025"/>
    <x v="0"/>
    <x v="0"/>
    <x v="2"/>
    <x v="2"/>
    <n v="3"/>
    <n v="120000"/>
    <n v="0"/>
    <n v="360000"/>
    <n v="360000"/>
    <n v="255000"/>
    <s v="Normal"/>
    <n v="35000"/>
  </r>
  <r>
    <x v="354"/>
    <d v="2025-01-06T00:00:00"/>
    <x v="0"/>
    <s v="2025"/>
    <x v="5"/>
    <x v="1"/>
    <x v="4"/>
    <x v="4"/>
    <n v="1"/>
    <n v="85000"/>
    <n v="10"/>
    <n v="85000"/>
    <n v="76500"/>
    <n v="75700"/>
    <s v="Normal"/>
    <n v="800"/>
  </r>
  <r>
    <x v="355"/>
    <d v="2025-01-07T00:00:00"/>
    <x v="0"/>
    <s v="2025"/>
    <x v="4"/>
    <x v="0"/>
    <x v="2"/>
    <x v="5"/>
    <n v="2"/>
    <n v="2500"/>
    <n v="10"/>
    <n v="5000"/>
    <n v="4500"/>
    <n v="-25500"/>
    <s v="Normal"/>
    <n v="15000"/>
  </r>
  <r>
    <x v="356"/>
    <d v="2025-01-08T00:00:00"/>
    <x v="0"/>
    <s v="2025"/>
    <x v="1"/>
    <x v="1"/>
    <x v="5"/>
    <x v="6"/>
    <n v="4"/>
    <n v="45000"/>
    <n v="5"/>
    <n v="180000"/>
    <n v="171000"/>
    <n v="163000"/>
    <s v="Normal"/>
    <n v="2000"/>
  </r>
  <r>
    <x v="357"/>
    <d v="2025-01-08T00:00:00"/>
    <x v="0"/>
    <s v="2025"/>
    <x v="3"/>
    <x v="0"/>
    <x v="5"/>
    <x v="4"/>
    <n v="7"/>
    <n v="45000"/>
    <n v="0"/>
    <n v="315000"/>
    <n v="315000"/>
    <n v="308700"/>
    <s v="Normal"/>
    <n v="900"/>
  </r>
  <r>
    <x v="358"/>
    <d v="2025-01-13T00:00:00"/>
    <x v="0"/>
    <s v="2025"/>
    <x v="2"/>
    <x v="0"/>
    <x v="0"/>
    <x v="5"/>
    <n v="5"/>
    <n v="85000"/>
    <n v="0"/>
    <n v="425000"/>
    <n v="425000"/>
    <n v="335000"/>
    <s v="Normal"/>
    <n v="18000"/>
  </r>
  <r>
    <x v="359"/>
    <d v="2025-01-13T00:00:00"/>
    <x v="0"/>
    <s v="2025"/>
    <x v="6"/>
    <x v="1"/>
    <x v="1"/>
    <x v="1"/>
    <n v="7"/>
    <n v="8000"/>
    <n v="5"/>
    <n v="56000"/>
    <n v="53200"/>
    <n v="49000"/>
    <s v="Normal"/>
    <n v="600"/>
  </r>
  <r>
    <x v="360"/>
    <d v="2025-01-14T00:00:00"/>
    <x v="0"/>
    <s v="2025"/>
    <x v="4"/>
    <x v="1"/>
    <x v="4"/>
    <x v="5"/>
    <n v="7"/>
    <n v="15000"/>
    <n v="10"/>
    <n v="105000"/>
    <n v="94500"/>
    <n v="-10500"/>
    <s v="Normal"/>
    <n v="15000"/>
  </r>
  <r>
    <x v="361"/>
    <d v="2025-01-17T00:00:00"/>
    <x v="0"/>
    <s v="2025"/>
    <x v="2"/>
    <x v="1"/>
    <x v="2"/>
    <x v="4"/>
    <n v="6"/>
    <n v="8000"/>
    <n v="0"/>
    <n v="48000"/>
    <n v="48000"/>
    <n v="-60000"/>
    <s v="Normal"/>
    <n v="18000"/>
  </r>
  <r>
    <x v="362"/>
    <d v="2025-01-17T00:00:00"/>
    <x v="0"/>
    <s v="2025"/>
    <x v="5"/>
    <x v="0"/>
    <x v="3"/>
    <x v="0"/>
    <n v="3"/>
    <n v="15000"/>
    <n v="10"/>
    <n v="45000"/>
    <n v="40500"/>
    <n v="38100"/>
    <s v="Normal"/>
    <n v="800"/>
  </r>
  <r>
    <x v="363"/>
    <d v="2025-01-22T00:00:00"/>
    <x v="0"/>
    <s v="2025"/>
    <x v="2"/>
    <x v="1"/>
    <x v="3"/>
    <x v="1"/>
    <n v="1"/>
    <n v="1500"/>
    <n v="5"/>
    <n v="1500"/>
    <n v="1425"/>
    <n v="-16575"/>
    <s v="Normal"/>
    <n v="18000"/>
  </r>
  <r>
    <x v="364"/>
    <d v="2025-01-23T00:00:00"/>
    <x v="0"/>
    <s v="2025"/>
    <x v="2"/>
    <x v="1"/>
    <x v="0"/>
    <x v="0"/>
    <n v="3"/>
    <n v="8000"/>
    <n v="10"/>
    <n v="24000"/>
    <n v="21600"/>
    <n v="-32400"/>
    <s v="Normal"/>
    <n v="18000"/>
  </r>
  <r>
    <x v="365"/>
    <d v="2025-01-23T00:00:00"/>
    <x v="0"/>
    <s v="2025"/>
    <x v="1"/>
    <x v="1"/>
    <x v="2"/>
    <x v="3"/>
    <n v="2"/>
    <n v="1500"/>
    <n v="5"/>
    <n v="3000"/>
    <n v="2850"/>
    <n v="-1150"/>
    <s v="Normal"/>
    <n v="2000"/>
  </r>
  <r>
    <x v="366"/>
    <d v="2025-01-23T00:00:00"/>
    <x v="0"/>
    <s v="2025"/>
    <x v="0"/>
    <x v="1"/>
    <x v="2"/>
    <x v="5"/>
    <n v="8"/>
    <n v="45000"/>
    <n v="5"/>
    <n v="360000"/>
    <n v="342000"/>
    <n v="62000"/>
    <s v="Normal"/>
    <n v="35000"/>
  </r>
  <r>
    <x v="367"/>
    <d v="2025-01-24T00:00:00"/>
    <x v="0"/>
    <s v="2025"/>
    <x v="7"/>
    <x v="1"/>
    <x v="5"/>
    <x v="3"/>
    <n v="2"/>
    <n v="120000"/>
    <n v="0"/>
    <n v="240000"/>
    <n v="240000"/>
    <n v="100000"/>
    <s v="Normal"/>
    <n v="70000"/>
  </r>
  <r>
    <x v="368"/>
    <d v="2025-01-24T00:00:00"/>
    <x v="0"/>
    <s v="2025"/>
    <x v="5"/>
    <x v="1"/>
    <x v="3"/>
    <x v="4"/>
    <n v="4"/>
    <n v="120000"/>
    <n v="0"/>
    <n v="480000"/>
    <n v="480000"/>
    <n v="476800"/>
    <s v="Normal"/>
    <n v="800"/>
  </r>
  <r>
    <x v="369"/>
    <d v="2025-01-24T00:00:00"/>
    <x v="0"/>
    <s v="2025"/>
    <x v="6"/>
    <x v="1"/>
    <x v="2"/>
    <x v="0"/>
    <n v="5"/>
    <n v="45000"/>
    <n v="15"/>
    <n v="225000"/>
    <n v="191250"/>
    <n v="188250"/>
    <s v="Normal"/>
    <n v="600"/>
  </r>
  <r>
    <x v="370"/>
    <d v="2025-01-25T00:00:00"/>
    <x v="0"/>
    <s v="2025"/>
    <x v="0"/>
    <x v="1"/>
    <x v="4"/>
    <x v="1"/>
    <n v="3"/>
    <n v="120000"/>
    <n v="0"/>
    <n v="360000"/>
    <n v="360000"/>
    <n v="255000"/>
    <s v="Normal"/>
    <n v="35000"/>
  </r>
  <r>
    <x v="371"/>
    <d v="2025-01-26T00:00:00"/>
    <x v="0"/>
    <s v="2025"/>
    <x v="0"/>
    <x v="0"/>
    <x v="2"/>
    <x v="4"/>
    <n v="9"/>
    <n v="15000"/>
    <n v="5"/>
    <n v="135000"/>
    <n v="128250"/>
    <n v="-186750"/>
    <s v="Normal"/>
    <n v="35000"/>
  </r>
  <r>
    <x v="372"/>
    <d v="2025-01-27T00:00:00"/>
    <x v="0"/>
    <s v="2025"/>
    <x v="1"/>
    <x v="1"/>
    <x v="1"/>
    <x v="5"/>
    <n v="5"/>
    <n v="2500"/>
    <n v="0"/>
    <n v="12500"/>
    <n v="12500"/>
    <n v="2500"/>
    <s v="Normal"/>
    <n v="2000"/>
  </r>
  <r>
    <x v="373"/>
    <d v="2025-01-28T00:00:00"/>
    <x v="0"/>
    <s v="2025"/>
    <x v="4"/>
    <x v="1"/>
    <x v="1"/>
    <x v="2"/>
    <n v="4"/>
    <n v="1500"/>
    <n v="0"/>
    <n v="6000"/>
    <n v="6000"/>
    <n v="-54000"/>
    <s v="Normal"/>
    <n v="15000"/>
  </r>
  <r>
    <x v="374"/>
    <d v="2025-01-29T00:00:00"/>
    <x v="0"/>
    <s v="2025"/>
    <x v="0"/>
    <x v="1"/>
    <x v="1"/>
    <x v="6"/>
    <n v="1"/>
    <n v="45000"/>
    <n v="5"/>
    <n v="45000"/>
    <n v="42750"/>
    <n v="7750"/>
    <s v="Normal"/>
    <n v="35000"/>
  </r>
  <r>
    <x v="375"/>
    <d v="2025-01-29T00:00:00"/>
    <x v="0"/>
    <s v="2025"/>
    <x v="7"/>
    <x v="1"/>
    <x v="3"/>
    <x v="5"/>
    <n v="4"/>
    <n v="2500"/>
    <n v="15"/>
    <n v="10000"/>
    <n v="8500"/>
    <n v="-271500"/>
    <s v="Normal"/>
    <n v="70000"/>
  </r>
  <r>
    <x v="376"/>
    <d v="2025-02-02T00:00:00"/>
    <x v="1"/>
    <s v="2025"/>
    <x v="7"/>
    <x v="1"/>
    <x v="2"/>
    <x v="0"/>
    <n v="8"/>
    <n v="2500"/>
    <n v="0"/>
    <n v="20000"/>
    <n v="20000"/>
    <n v="-540000"/>
    <s v="Normal"/>
    <n v="70000"/>
  </r>
  <r>
    <x v="377"/>
    <d v="2025-02-03T00:00:00"/>
    <x v="1"/>
    <s v="2025"/>
    <x v="6"/>
    <x v="1"/>
    <x v="3"/>
    <x v="4"/>
    <n v="7"/>
    <n v="85000"/>
    <n v="0"/>
    <n v="595000"/>
    <n v="595000"/>
    <n v="590800"/>
    <s v="Normal"/>
    <n v="600"/>
  </r>
  <r>
    <x v="378"/>
    <d v="2025-02-03T00:00:00"/>
    <x v="1"/>
    <s v="2025"/>
    <x v="1"/>
    <x v="0"/>
    <x v="4"/>
    <x v="1"/>
    <n v="4"/>
    <n v="120000"/>
    <n v="10"/>
    <n v="480000"/>
    <n v="432000"/>
    <n v="424000"/>
    <s v="Normal"/>
    <n v="2000"/>
  </r>
  <r>
    <x v="379"/>
    <d v="2025-02-09T00:00:00"/>
    <x v="1"/>
    <s v="2025"/>
    <x v="3"/>
    <x v="1"/>
    <x v="2"/>
    <x v="3"/>
    <n v="4"/>
    <n v="2500"/>
    <n v="10"/>
    <n v="10000"/>
    <n v="9000"/>
    <n v="5400"/>
    <s v="Normal"/>
    <n v="900"/>
  </r>
  <r>
    <x v="380"/>
    <d v="2025-02-09T00:00:00"/>
    <x v="1"/>
    <s v="2025"/>
    <x v="7"/>
    <x v="1"/>
    <x v="1"/>
    <x v="6"/>
    <n v="2"/>
    <n v="2500"/>
    <n v="0"/>
    <n v="5000"/>
    <n v="5000"/>
    <n v="-135000"/>
    <s v="Normal"/>
    <n v="70000"/>
  </r>
  <r>
    <x v="381"/>
    <d v="2025-02-12T00:00:00"/>
    <x v="1"/>
    <s v="2025"/>
    <x v="1"/>
    <x v="1"/>
    <x v="1"/>
    <x v="1"/>
    <n v="2"/>
    <n v="85000"/>
    <n v="10"/>
    <n v="170000"/>
    <n v="153000"/>
    <n v="149000"/>
    <s v="Normal"/>
    <n v="2000"/>
  </r>
  <r>
    <x v="382"/>
    <d v="2025-02-12T00:00:00"/>
    <x v="1"/>
    <s v="2025"/>
    <x v="3"/>
    <x v="0"/>
    <x v="5"/>
    <x v="4"/>
    <n v="7"/>
    <n v="15000"/>
    <n v="10"/>
    <n v="105000"/>
    <n v="94500"/>
    <n v="88200"/>
    <s v="Normal"/>
    <n v="900"/>
  </r>
  <r>
    <x v="383"/>
    <d v="2025-02-12T00:00:00"/>
    <x v="1"/>
    <s v="2025"/>
    <x v="2"/>
    <x v="0"/>
    <x v="4"/>
    <x v="1"/>
    <n v="6"/>
    <n v="2500"/>
    <n v="10"/>
    <n v="15000"/>
    <n v="13500"/>
    <n v="-94500"/>
    <s v="Normal"/>
    <n v="18000"/>
  </r>
  <r>
    <x v="384"/>
    <d v="2025-02-13T00:00:00"/>
    <x v="1"/>
    <s v="2025"/>
    <x v="7"/>
    <x v="1"/>
    <x v="1"/>
    <x v="3"/>
    <n v="6"/>
    <n v="85000"/>
    <n v="0"/>
    <n v="510000"/>
    <n v="510000"/>
    <n v="90000"/>
    <s v="Normal"/>
    <n v="70000"/>
  </r>
  <r>
    <x v="385"/>
    <d v="2025-02-13T00:00:00"/>
    <x v="1"/>
    <s v="2025"/>
    <x v="3"/>
    <x v="1"/>
    <x v="1"/>
    <x v="2"/>
    <n v="6"/>
    <n v="2500"/>
    <n v="5"/>
    <n v="15000"/>
    <n v="14250"/>
    <n v="8850"/>
    <s v="Normal"/>
    <n v="900"/>
  </r>
  <r>
    <x v="386"/>
    <d v="2025-02-14T00:00:00"/>
    <x v="1"/>
    <s v="2025"/>
    <x v="0"/>
    <x v="1"/>
    <x v="0"/>
    <x v="2"/>
    <n v="2"/>
    <n v="45000"/>
    <n v="5"/>
    <n v="90000"/>
    <n v="85500"/>
    <n v="15500"/>
    <s v="Normal"/>
    <n v="35000"/>
  </r>
  <r>
    <x v="387"/>
    <d v="2025-02-14T00:00:00"/>
    <x v="1"/>
    <s v="2025"/>
    <x v="5"/>
    <x v="1"/>
    <x v="1"/>
    <x v="0"/>
    <n v="6"/>
    <n v="45000"/>
    <n v="0"/>
    <n v="270000"/>
    <n v="270000"/>
    <n v="265200"/>
    <s v="Normal"/>
    <n v="800"/>
  </r>
  <r>
    <x v="388"/>
    <d v="2025-02-16T00:00:00"/>
    <x v="1"/>
    <s v="2025"/>
    <x v="7"/>
    <x v="0"/>
    <x v="4"/>
    <x v="4"/>
    <n v="2"/>
    <n v="120000"/>
    <n v="10"/>
    <n v="240000"/>
    <n v="216000"/>
    <n v="76000"/>
    <s v="Normal"/>
    <n v="70000"/>
  </r>
  <r>
    <x v="389"/>
    <d v="2025-02-16T00:00:00"/>
    <x v="1"/>
    <s v="2025"/>
    <x v="4"/>
    <x v="1"/>
    <x v="1"/>
    <x v="4"/>
    <n v="6"/>
    <n v="15000"/>
    <n v="15"/>
    <n v="90000"/>
    <n v="76500"/>
    <n v="-13500"/>
    <s v="Normal"/>
    <n v="15000"/>
  </r>
  <r>
    <x v="390"/>
    <d v="2025-02-17T00:00:00"/>
    <x v="1"/>
    <s v="2025"/>
    <x v="7"/>
    <x v="0"/>
    <x v="5"/>
    <x v="5"/>
    <n v="5"/>
    <n v="8000"/>
    <n v="0"/>
    <n v="40000"/>
    <n v="40000"/>
    <n v="-310000"/>
    <s v="Normal"/>
    <n v="70000"/>
  </r>
  <r>
    <x v="391"/>
    <d v="2025-02-19T00:00:00"/>
    <x v="1"/>
    <s v="2025"/>
    <x v="4"/>
    <x v="0"/>
    <x v="0"/>
    <x v="1"/>
    <n v="7"/>
    <n v="1500"/>
    <n v="0"/>
    <n v="10500"/>
    <n v="10500"/>
    <n v="-94500"/>
    <s v="Normal"/>
    <n v="15000"/>
  </r>
  <r>
    <x v="392"/>
    <d v="2025-02-20T00:00:00"/>
    <x v="1"/>
    <s v="2025"/>
    <x v="4"/>
    <x v="1"/>
    <x v="1"/>
    <x v="2"/>
    <n v="7"/>
    <n v="45000"/>
    <n v="5"/>
    <n v="315000"/>
    <n v="299250"/>
    <n v="194250"/>
    <s v="Normal"/>
    <n v="15000"/>
  </r>
  <r>
    <x v="393"/>
    <d v="2025-02-20T00:00:00"/>
    <x v="1"/>
    <s v="2025"/>
    <x v="3"/>
    <x v="1"/>
    <x v="0"/>
    <x v="4"/>
    <n v="6"/>
    <n v="1500"/>
    <n v="0"/>
    <n v="9000"/>
    <n v="9000"/>
    <n v="3600"/>
    <s v="Normal"/>
    <n v="900"/>
  </r>
  <r>
    <x v="394"/>
    <d v="2025-02-20T00:00:00"/>
    <x v="1"/>
    <s v="2025"/>
    <x v="5"/>
    <x v="1"/>
    <x v="2"/>
    <x v="3"/>
    <n v="1"/>
    <n v="45000"/>
    <n v="0"/>
    <n v="45000"/>
    <n v="45000"/>
    <n v="44200"/>
    <s v="Normal"/>
    <n v="800"/>
  </r>
  <r>
    <x v="395"/>
    <d v="2025-02-21T00:00:00"/>
    <x v="1"/>
    <s v="2025"/>
    <x v="6"/>
    <x v="1"/>
    <x v="3"/>
    <x v="2"/>
    <n v="9"/>
    <n v="45000"/>
    <n v="10"/>
    <n v="405000"/>
    <n v="364500"/>
    <n v="359100"/>
    <s v="Normal"/>
    <n v="600"/>
  </r>
  <r>
    <x v="396"/>
    <d v="2025-02-22T00:00:00"/>
    <x v="1"/>
    <s v="2025"/>
    <x v="2"/>
    <x v="1"/>
    <x v="0"/>
    <x v="0"/>
    <n v="4"/>
    <n v="8000"/>
    <n v="0"/>
    <n v="32000"/>
    <n v="32000"/>
    <n v="-40000"/>
    <s v="Normal"/>
    <n v="18000"/>
  </r>
  <r>
    <x v="397"/>
    <d v="2025-02-24T00:00:00"/>
    <x v="1"/>
    <s v="2025"/>
    <x v="3"/>
    <x v="0"/>
    <x v="2"/>
    <x v="0"/>
    <n v="6"/>
    <n v="8000"/>
    <n v="5"/>
    <n v="48000"/>
    <n v="45600"/>
    <n v="40200"/>
    <s v="Normal"/>
    <n v="900"/>
  </r>
  <r>
    <x v="398"/>
    <d v="2025-02-25T00:00:00"/>
    <x v="1"/>
    <s v="2025"/>
    <x v="1"/>
    <x v="1"/>
    <x v="2"/>
    <x v="2"/>
    <n v="4"/>
    <n v="45000"/>
    <n v="5"/>
    <n v="180000"/>
    <n v="171000"/>
    <n v="163000"/>
    <s v="Normal"/>
    <n v="2000"/>
  </r>
  <r>
    <x v="399"/>
    <d v="2025-02-26T00:00:00"/>
    <x v="1"/>
    <s v="2025"/>
    <x v="6"/>
    <x v="0"/>
    <x v="0"/>
    <x v="5"/>
    <n v="5"/>
    <n v="45000"/>
    <n v="5"/>
    <n v="225000"/>
    <n v="213750"/>
    <n v="210750"/>
    <s v="Normal"/>
    <n v="600"/>
  </r>
  <r>
    <x v="400"/>
    <d v="2025-02-28T00:00:00"/>
    <x v="1"/>
    <s v="2025"/>
    <x v="5"/>
    <x v="1"/>
    <x v="5"/>
    <x v="2"/>
    <n v="8"/>
    <n v="15000"/>
    <n v="0"/>
    <n v="120000"/>
    <n v="120000"/>
    <n v="113600"/>
    <s v="Normal"/>
    <n v="800"/>
  </r>
  <r>
    <x v="401"/>
    <d v="2025-02-28T00:00:00"/>
    <x v="1"/>
    <s v="2025"/>
    <x v="1"/>
    <x v="1"/>
    <x v="0"/>
    <x v="0"/>
    <n v="2"/>
    <n v="1500"/>
    <n v="0"/>
    <n v="3000"/>
    <n v="3000"/>
    <n v="-1000"/>
    <s v="Normal"/>
    <n v="2000"/>
  </r>
  <r>
    <x v="402"/>
    <d v="2025-03-01T00:00:00"/>
    <x v="2"/>
    <s v="2025"/>
    <x v="7"/>
    <x v="1"/>
    <x v="3"/>
    <x v="6"/>
    <n v="1"/>
    <n v="85000"/>
    <n v="0"/>
    <n v="85000"/>
    <n v="85000"/>
    <n v="15000"/>
    <s v="Normal"/>
    <n v="70000"/>
  </r>
  <r>
    <x v="403"/>
    <d v="2025-03-05T00:00:00"/>
    <x v="2"/>
    <s v="2025"/>
    <x v="4"/>
    <x v="1"/>
    <x v="3"/>
    <x v="0"/>
    <n v="9"/>
    <n v="8000"/>
    <n v="5"/>
    <n v="72000"/>
    <n v="68400"/>
    <n v="-66600"/>
    <s v="Normal"/>
    <n v="15000"/>
  </r>
  <r>
    <x v="404"/>
    <d v="2025-03-05T00:00:00"/>
    <x v="2"/>
    <s v="2025"/>
    <x v="1"/>
    <x v="1"/>
    <x v="5"/>
    <x v="5"/>
    <n v="1"/>
    <n v="8000"/>
    <n v="15"/>
    <n v="8000"/>
    <n v="6800"/>
    <n v="4800"/>
    <s v="Normal"/>
    <n v="2000"/>
  </r>
  <r>
    <x v="405"/>
    <d v="2025-03-06T00:00:00"/>
    <x v="2"/>
    <s v="2025"/>
    <x v="5"/>
    <x v="1"/>
    <x v="3"/>
    <x v="1"/>
    <n v="2"/>
    <n v="8000"/>
    <n v="5"/>
    <n v="16000"/>
    <n v="15200"/>
    <n v="13600"/>
    <s v="Normal"/>
    <n v="800"/>
  </r>
  <r>
    <x v="406"/>
    <d v="2025-03-06T00:00:00"/>
    <x v="2"/>
    <s v="2025"/>
    <x v="4"/>
    <x v="0"/>
    <x v="5"/>
    <x v="5"/>
    <n v="6"/>
    <n v="45000"/>
    <n v="5"/>
    <n v="270000"/>
    <n v="256500"/>
    <n v="166500"/>
    <s v="Normal"/>
    <n v="15000"/>
  </r>
  <r>
    <x v="407"/>
    <d v="2025-03-08T00:00:00"/>
    <x v="2"/>
    <s v="2025"/>
    <x v="3"/>
    <x v="1"/>
    <x v="5"/>
    <x v="6"/>
    <n v="5"/>
    <n v="15000"/>
    <n v="5"/>
    <n v="75000"/>
    <n v="71250"/>
    <n v="66750"/>
    <s v="Normal"/>
    <n v="900"/>
  </r>
  <r>
    <x v="408"/>
    <d v="2025-03-08T00:00:00"/>
    <x v="2"/>
    <s v="2025"/>
    <x v="4"/>
    <x v="0"/>
    <x v="5"/>
    <x v="4"/>
    <n v="6"/>
    <n v="85000"/>
    <n v="0"/>
    <n v="510000"/>
    <n v="510000"/>
    <n v="420000"/>
    <s v="Normal"/>
    <n v="15000"/>
  </r>
  <r>
    <x v="409"/>
    <d v="2025-03-08T00:00:00"/>
    <x v="2"/>
    <s v="2025"/>
    <x v="3"/>
    <x v="1"/>
    <x v="2"/>
    <x v="5"/>
    <n v="6"/>
    <n v="85000"/>
    <n v="5"/>
    <n v="510000"/>
    <n v="484500"/>
    <n v="479100"/>
    <s v="Normal"/>
    <n v="900"/>
  </r>
  <r>
    <x v="410"/>
    <d v="2025-03-08T00:00:00"/>
    <x v="2"/>
    <s v="2025"/>
    <x v="5"/>
    <x v="1"/>
    <x v="0"/>
    <x v="0"/>
    <n v="2"/>
    <n v="45000"/>
    <n v="15"/>
    <n v="90000"/>
    <n v="76500"/>
    <n v="74900"/>
    <s v="Normal"/>
    <n v="800"/>
  </r>
  <r>
    <x v="411"/>
    <d v="2025-03-09T00:00:00"/>
    <x v="2"/>
    <s v="2025"/>
    <x v="7"/>
    <x v="1"/>
    <x v="1"/>
    <x v="1"/>
    <n v="7"/>
    <n v="45000"/>
    <n v="0"/>
    <n v="315000"/>
    <n v="315000"/>
    <n v="-175000"/>
    <s v="Normal"/>
    <n v="70000"/>
  </r>
  <r>
    <x v="412"/>
    <d v="2025-03-09T00:00:00"/>
    <x v="2"/>
    <s v="2025"/>
    <x v="0"/>
    <x v="1"/>
    <x v="3"/>
    <x v="2"/>
    <n v="4"/>
    <n v="85000"/>
    <n v="5"/>
    <n v="340000"/>
    <n v="323000"/>
    <n v="183000"/>
    <s v="Normal"/>
    <n v="35000"/>
  </r>
  <r>
    <x v="413"/>
    <d v="2025-03-09T00:00:00"/>
    <x v="2"/>
    <s v="2025"/>
    <x v="5"/>
    <x v="0"/>
    <x v="0"/>
    <x v="4"/>
    <n v="5"/>
    <n v="2500"/>
    <n v="0"/>
    <n v="12500"/>
    <n v="12500"/>
    <n v="8500"/>
    <s v="Normal"/>
    <n v="800"/>
  </r>
  <r>
    <x v="414"/>
    <d v="2025-03-09T00:00:00"/>
    <x v="2"/>
    <s v="2025"/>
    <x v="2"/>
    <x v="0"/>
    <x v="2"/>
    <x v="0"/>
    <n v="4"/>
    <n v="45000"/>
    <n v="0"/>
    <n v="180000"/>
    <n v="180000"/>
    <n v="108000"/>
    <s v="Normal"/>
    <n v="18000"/>
  </r>
  <r>
    <x v="415"/>
    <d v="2025-03-11T00:00:00"/>
    <x v="2"/>
    <s v="2025"/>
    <x v="4"/>
    <x v="0"/>
    <x v="0"/>
    <x v="6"/>
    <n v="5"/>
    <n v="15000"/>
    <n v="0"/>
    <n v="75000"/>
    <n v="75000"/>
    <n v="0"/>
    <s v="Normal"/>
    <n v="15000"/>
  </r>
  <r>
    <x v="416"/>
    <d v="2025-03-12T00:00:00"/>
    <x v="2"/>
    <s v="2025"/>
    <x v="4"/>
    <x v="0"/>
    <x v="5"/>
    <x v="4"/>
    <n v="4"/>
    <n v="15000"/>
    <n v="0"/>
    <n v="60000"/>
    <n v="60000"/>
    <n v="0"/>
    <s v="Normal"/>
    <n v="15000"/>
  </r>
  <r>
    <x v="417"/>
    <d v="2025-03-13T00:00:00"/>
    <x v="2"/>
    <s v="2025"/>
    <x v="4"/>
    <x v="0"/>
    <x v="3"/>
    <x v="2"/>
    <n v="9"/>
    <n v="45000"/>
    <n v="15"/>
    <n v="405000"/>
    <n v="344250"/>
    <n v="209250"/>
    <s v="Normal"/>
    <n v="15000"/>
  </r>
  <r>
    <x v="418"/>
    <d v="2025-03-14T00:00:00"/>
    <x v="2"/>
    <s v="2025"/>
    <x v="7"/>
    <x v="0"/>
    <x v="1"/>
    <x v="0"/>
    <n v="8"/>
    <n v="2500"/>
    <n v="10"/>
    <n v="20000"/>
    <n v="18000"/>
    <n v="-542000"/>
    <s v="Normal"/>
    <n v="70000"/>
  </r>
  <r>
    <x v="419"/>
    <d v="2025-03-16T00:00:00"/>
    <x v="2"/>
    <s v="2025"/>
    <x v="6"/>
    <x v="1"/>
    <x v="2"/>
    <x v="1"/>
    <n v="7"/>
    <n v="45000"/>
    <n v="5"/>
    <n v="315000"/>
    <n v="299250"/>
    <n v="295050"/>
    <s v="Normal"/>
    <n v="600"/>
  </r>
  <r>
    <x v="420"/>
    <d v="2025-03-16T00:00:00"/>
    <x v="2"/>
    <s v="2025"/>
    <x v="3"/>
    <x v="1"/>
    <x v="5"/>
    <x v="4"/>
    <n v="1"/>
    <n v="45000"/>
    <n v="10"/>
    <n v="45000"/>
    <n v="40500"/>
    <n v="39600"/>
    <s v="Normal"/>
    <n v="900"/>
  </r>
  <r>
    <x v="421"/>
    <d v="2025-03-17T00:00:00"/>
    <x v="2"/>
    <s v="2025"/>
    <x v="7"/>
    <x v="0"/>
    <x v="0"/>
    <x v="0"/>
    <n v="9"/>
    <n v="85000"/>
    <n v="0"/>
    <n v="765000"/>
    <n v="765000"/>
    <n v="135000"/>
    <s v="Normal"/>
    <n v="70000"/>
  </r>
  <r>
    <x v="422"/>
    <d v="2025-03-17T00:00:00"/>
    <x v="2"/>
    <s v="2025"/>
    <x v="2"/>
    <x v="0"/>
    <x v="2"/>
    <x v="4"/>
    <n v="6"/>
    <n v="8000"/>
    <n v="0"/>
    <n v="48000"/>
    <n v="48000"/>
    <n v="-60000"/>
    <s v="Normal"/>
    <n v="18000"/>
  </r>
  <r>
    <x v="423"/>
    <d v="2025-03-20T00:00:00"/>
    <x v="2"/>
    <s v="2025"/>
    <x v="4"/>
    <x v="1"/>
    <x v="5"/>
    <x v="3"/>
    <n v="1"/>
    <n v="1500"/>
    <n v="0"/>
    <n v="1500"/>
    <n v="1500"/>
    <n v="-13500"/>
    <s v="Normal"/>
    <n v="15000"/>
  </r>
  <r>
    <x v="424"/>
    <d v="2025-03-21T00:00:00"/>
    <x v="2"/>
    <s v="2025"/>
    <x v="3"/>
    <x v="1"/>
    <x v="1"/>
    <x v="3"/>
    <n v="1"/>
    <n v="15000"/>
    <n v="0"/>
    <n v="15000"/>
    <n v="15000"/>
    <n v="14100"/>
    <s v="Normal"/>
    <n v="900"/>
  </r>
  <r>
    <x v="425"/>
    <d v="2025-03-22T00:00:00"/>
    <x v="2"/>
    <s v="2025"/>
    <x v="6"/>
    <x v="1"/>
    <x v="2"/>
    <x v="1"/>
    <n v="5"/>
    <n v="45000"/>
    <n v="10"/>
    <n v="225000"/>
    <n v="202500"/>
    <n v="199500"/>
    <s v="Normal"/>
    <n v="600"/>
  </r>
  <r>
    <x v="426"/>
    <d v="2025-03-22T00:00:00"/>
    <x v="2"/>
    <s v="2025"/>
    <x v="7"/>
    <x v="1"/>
    <x v="3"/>
    <x v="1"/>
    <n v="1"/>
    <n v="15000"/>
    <n v="0"/>
    <n v="15000"/>
    <n v="15000"/>
    <n v="-55000"/>
    <s v="Normal"/>
    <n v="70000"/>
  </r>
  <r>
    <x v="427"/>
    <d v="2025-03-24T00:00:00"/>
    <x v="2"/>
    <s v="2025"/>
    <x v="7"/>
    <x v="0"/>
    <x v="2"/>
    <x v="0"/>
    <n v="5"/>
    <n v="1500"/>
    <n v="10"/>
    <n v="7500"/>
    <n v="6750"/>
    <n v="-343250"/>
    <s v="Normal"/>
    <n v="70000"/>
  </r>
  <r>
    <x v="428"/>
    <d v="2025-03-24T00:00:00"/>
    <x v="2"/>
    <s v="2025"/>
    <x v="1"/>
    <x v="0"/>
    <x v="1"/>
    <x v="4"/>
    <n v="6"/>
    <n v="1500"/>
    <n v="10"/>
    <n v="9000"/>
    <n v="8100"/>
    <n v="-3900"/>
    <s v="Normal"/>
    <n v="2000"/>
  </r>
  <r>
    <x v="429"/>
    <d v="2025-03-26T00:00:00"/>
    <x v="2"/>
    <s v="2025"/>
    <x v="1"/>
    <x v="0"/>
    <x v="2"/>
    <x v="0"/>
    <n v="4"/>
    <n v="120000"/>
    <n v="10"/>
    <n v="480000"/>
    <n v="432000"/>
    <n v="424000"/>
    <s v="Normal"/>
    <n v="2000"/>
  </r>
  <r>
    <x v="430"/>
    <d v="2025-03-28T00:00:00"/>
    <x v="2"/>
    <s v="2025"/>
    <x v="6"/>
    <x v="0"/>
    <x v="2"/>
    <x v="6"/>
    <n v="1"/>
    <n v="45000"/>
    <n v="0"/>
    <n v="45000"/>
    <n v="45000"/>
    <n v="44400"/>
    <s v="Normal"/>
    <n v="600"/>
  </r>
  <r>
    <x v="431"/>
    <d v="2025-03-28T00:00:00"/>
    <x v="2"/>
    <s v="2025"/>
    <x v="7"/>
    <x v="1"/>
    <x v="1"/>
    <x v="4"/>
    <n v="7"/>
    <n v="120000"/>
    <n v="0"/>
    <n v="840000"/>
    <n v="840000"/>
    <n v="350000"/>
    <s v="Normal"/>
    <n v="70000"/>
  </r>
  <r>
    <x v="432"/>
    <d v="2025-03-28T00:00:00"/>
    <x v="2"/>
    <s v="2025"/>
    <x v="6"/>
    <x v="0"/>
    <x v="1"/>
    <x v="1"/>
    <n v="1"/>
    <n v="2500"/>
    <n v="10"/>
    <n v="2500"/>
    <n v="2250"/>
    <n v="1650"/>
    <s v="Normal"/>
    <n v="600"/>
  </r>
  <r>
    <x v="433"/>
    <d v="2025-03-29T00:00:00"/>
    <x v="2"/>
    <s v="2025"/>
    <x v="4"/>
    <x v="1"/>
    <x v="4"/>
    <x v="5"/>
    <n v="8"/>
    <n v="1500"/>
    <n v="5"/>
    <n v="12000"/>
    <n v="11400"/>
    <n v="-108600"/>
    <s v="Normal"/>
    <n v="15000"/>
  </r>
  <r>
    <x v="434"/>
    <d v="2025-03-29T00:00:00"/>
    <x v="2"/>
    <s v="2025"/>
    <x v="2"/>
    <x v="0"/>
    <x v="0"/>
    <x v="5"/>
    <n v="3"/>
    <n v="2500"/>
    <n v="5"/>
    <n v="7500"/>
    <n v="7125"/>
    <n v="-46875"/>
    <s v="Normal"/>
    <n v="18000"/>
  </r>
  <r>
    <x v="435"/>
    <d v="2025-04-01T00:00:00"/>
    <x v="3"/>
    <s v="2025"/>
    <x v="2"/>
    <x v="1"/>
    <x v="4"/>
    <x v="1"/>
    <n v="2"/>
    <n v="15000"/>
    <n v="10"/>
    <n v="30000"/>
    <n v="27000"/>
    <n v="-9000"/>
    <s v="Normal"/>
    <n v="18000"/>
  </r>
  <r>
    <x v="436"/>
    <d v="2025-04-04T00:00:00"/>
    <x v="3"/>
    <s v="2025"/>
    <x v="2"/>
    <x v="1"/>
    <x v="4"/>
    <x v="6"/>
    <n v="9"/>
    <n v="120000"/>
    <n v="10"/>
    <n v="1080000"/>
    <n v="972000"/>
    <n v="810000"/>
    <s v="Normal"/>
    <n v="18000"/>
  </r>
  <r>
    <x v="437"/>
    <d v="2025-04-04T00:00:00"/>
    <x v="3"/>
    <s v="2025"/>
    <x v="5"/>
    <x v="1"/>
    <x v="1"/>
    <x v="0"/>
    <n v="6"/>
    <n v="8000"/>
    <n v="15"/>
    <n v="48000"/>
    <n v="40800"/>
    <n v="36000"/>
    <s v="Normal"/>
    <n v="800"/>
  </r>
  <r>
    <x v="438"/>
    <d v="2025-04-05T00:00:00"/>
    <x v="3"/>
    <s v="2025"/>
    <x v="5"/>
    <x v="0"/>
    <x v="4"/>
    <x v="3"/>
    <n v="4"/>
    <n v="85000"/>
    <n v="0"/>
    <n v="340000"/>
    <n v="340000"/>
    <n v="336800"/>
    <s v="Normal"/>
    <n v="800"/>
  </r>
  <r>
    <x v="439"/>
    <d v="2025-04-07T00:00:00"/>
    <x v="3"/>
    <s v="2025"/>
    <x v="5"/>
    <x v="1"/>
    <x v="5"/>
    <x v="6"/>
    <n v="2"/>
    <n v="1500"/>
    <n v="0"/>
    <n v="3000"/>
    <n v="3000"/>
    <n v="1400"/>
    <s v="Normal"/>
    <n v="800"/>
  </r>
  <r>
    <x v="440"/>
    <d v="2025-04-09T00:00:00"/>
    <x v="3"/>
    <s v="2025"/>
    <x v="1"/>
    <x v="1"/>
    <x v="5"/>
    <x v="6"/>
    <n v="3"/>
    <n v="15000"/>
    <n v="0"/>
    <n v="45000"/>
    <n v="45000"/>
    <n v="39000"/>
    <s v="Normal"/>
    <n v="2000"/>
  </r>
  <r>
    <x v="441"/>
    <d v="2025-04-09T00:00:00"/>
    <x v="3"/>
    <s v="2025"/>
    <x v="6"/>
    <x v="1"/>
    <x v="0"/>
    <x v="5"/>
    <n v="5"/>
    <n v="15000"/>
    <n v="0"/>
    <n v="75000"/>
    <n v="75000"/>
    <n v="72000"/>
    <s v="Normal"/>
    <n v="600"/>
  </r>
  <r>
    <x v="442"/>
    <d v="2025-04-10T00:00:00"/>
    <x v="3"/>
    <s v="2025"/>
    <x v="0"/>
    <x v="0"/>
    <x v="0"/>
    <x v="3"/>
    <n v="8"/>
    <n v="45000"/>
    <n v="10"/>
    <n v="360000"/>
    <n v="324000"/>
    <n v="44000"/>
    <s v="Normal"/>
    <n v="35000"/>
  </r>
  <r>
    <x v="443"/>
    <d v="2025-04-11T00:00:00"/>
    <x v="3"/>
    <s v="2025"/>
    <x v="4"/>
    <x v="0"/>
    <x v="5"/>
    <x v="1"/>
    <n v="5"/>
    <n v="15000"/>
    <n v="0"/>
    <n v="75000"/>
    <n v="75000"/>
    <n v="0"/>
    <s v="Normal"/>
    <n v="15000"/>
  </r>
  <r>
    <x v="444"/>
    <d v="2025-04-12T00:00:00"/>
    <x v="3"/>
    <s v="2025"/>
    <x v="6"/>
    <x v="1"/>
    <x v="2"/>
    <x v="2"/>
    <n v="2"/>
    <n v="120000"/>
    <n v="0"/>
    <n v="240000"/>
    <n v="240000"/>
    <n v="238800"/>
    <s v="Normal"/>
    <n v="600"/>
  </r>
  <r>
    <x v="445"/>
    <d v="2025-04-13T00:00:00"/>
    <x v="3"/>
    <s v="2025"/>
    <x v="7"/>
    <x v="1"/>
    <x v="3"/>
    <x v="1"/>
    <n v="7"/>
    <n v="2500"/>
    <n v="0"/>
    <n v="17500"/>
    <n v="17500"/>
    <n v="-472500"/>
    <s v="Normal"/>
    <n v="70000"/>
  </r>
  <r>
    <x v="446"/>
    <d v="2025-04-14T00:00:00"/>
    <x v="3"/>
    <s v="2025"/>
    <x v="4"/>
    <x v="1"/>
    <x v="0"/>
    <x v="6"/>
    <n v="3"/>
    <n v="1500"/>
    <n v="15"/>
    <n v="4500"/>
    <n v="3825"/>
    <n v="-41175"/>
    <s v="Normal"/>
    <n v="15000"/>
  </r>
  <r>
    <x v="447"/>
    <d v="2025-04-14T00:00:00"/>
    <x v="3"/>
    <s v="2025"/>
    <x v="1"/>
    <x v="0"/>
    <x v="4"/>
    <x v="1"/>
    <n v="1"/>
    <n v="8000"/>
    <n v="0"/>
    <n v="8000"/>
    <n v="8000"/>
    <n v="6000"/>
    <s v="Normal"/>
    <n v="2000"/>
  </r>
  <r>
    <x v="448"/>
    <d v="2025-04-15T00:00:00"/>
    <x v="3"/>
    <s v="2025"/>
    <x v="7"/>
    <x v="0"/>
    <x v="3"/>
    <x v="1"/>
    <n v="2"/>
    <n v="45000"/>
    <n v="10"/>
    <n v="90000"/>
    <n v="81000"/>
    <n v="-59000"/>
    <s v="Normal"/>
    <n v="70000"/>
  </r>
  <r>
    <x v="449"/>
    <d v="2025-04-16T00:00:00"/>
    <x v="3"/>
    <s v="2025"/>
    <x v="4"/>
    <x v="0"/>
    <x v="2"/>
    <x v="2"/>
    <n v="2"/>
    <n v="120000"/>
    <n v="0"/>
    <n v="240000"/>
    <n v="240000"/>
    <n v="210000"/>
    <s v="Normal"/>
    <n v="15000"/>
  </r>
  <r>
    <x v="450"/>
    <d v="2025-04-18T00:00:00"/>
    <x v="3"/>
    <s v="2025"/>
    <x v="3"/>
    <x v="1"/>
    <x v="3"/>
    <x v="4"/>
    <n v="1"/>
    <n v="15000"/>
    <n v="0"/>
    <n v="15000"/>
    <n v="15000"/>
    <n v="14100"/>
    <s v="Normal"/>
    <n v="900"/>
  </r>
  <r>
    <x v="451"/>
    <d v="2025-04-18T00:00:00"/>
    <x v="3"/>
    <s v="2025"/>
    <x v="7"/>
    <x v="1"/>
    <x v="2"/>
    <x v="2"/>
    <n v="9"/>
    <n v="2500"/>
    <n v="5"/>
    <n v="22500"/>
    <n v="21375"/>
    <n v="-608625"/>
    <s v="Normal"/>
    <n v="70000"/>
  </r>
  <r>
    <x v="452"/>
    <d v="2025-04-20T00:00:00"/>
    <x v="3"/>
    <s v="2025"/>
    <x v="6"/>
    <x v="1"/>
    <x v="0"/>
    <x v="5"/>
    <n v="5"/>
    <n v="120000"/>
    <n v="0"/>
    <n v="600000"/>
    <n v="600000"/>
    <n v="597000"/>
    <s v="Normal"/>
    <n v="600"/>
  </r>
  <r>
    <x v="453"/>
    <d v="2025-04-20T00:00:00"/>
    <x v="3"/>
    <s v="2025"/>
    <x v="6"/>
    <x v="1"/>
    <x v="4"/>
    <x v="0"/>
    <n v="4"/>
    <n v="1500"/>
    <n v="5"/>
    <n v="6000"/>
    <n v="5700"/>
    <n v="3300"/>
    <s v="Normal"/>
    <n v="600"/>
  </r>
  <r>
    <x v="454"/>
    <d v="2025-04-21T00:00:00"/>
    <x v="3"/>
    <s v="2025"/>
    <x v="4"/>
    <x v="0"/>
    <x v="3"/>
    <x v="2"/>
    <n v="5"/>
    <n v="45000"/>
    <n v="5"/>
    <n v="225000"/>
    <n v="213750"/>
    <n v="138750"/>
    <s v="Normal"/>
    <n v="15000"/>
  </r>
  <r>
    <x v="455"/>
    <d v="2025-04-22T00:00:00"/>
    <x v="3"/>
    <s v="2025"/>
    <x v="1"/>
    <x v="1"/>
    <x v="0"/>
    <x v="1"/>
    <n v="8"/>
    <n v="8000"/>
    <n v="0"/>
    <n v="64000"/>
    <n v="64000"/>
    <n v="48000"/>
    <s v="Normal"/>
    <n v="2000"/>
  </r>
  <r>
    <x v="456"/>
    <d v="2025-04-23T00:00:00"/>
    <x v="3"/>
    <s v="2025"/>
    <x v="3"/>
    <x v="0"/>
    <x v="5"/>
    <x v="6"/>
    <n v="7"/>
    <n v="120000"/>
    <n v="0"/>
    <n v="840000"/>
    <n v="840000"/>
    <n v="833700"/>
    <s v="Normal"/>
    <n v="900"/>
  </r>
  <r>
    <x v="457"/>
    <d v="2025-04-24T00:00:00"/>
    <x v="3"/>
    <s v="2025"/>
    <x v="1"/>
    <x v="1"/>
    <x v="4"/>
    <x v="3"/>
    <n v="9"/>
    <n v="120000"/>
    <n v="5"/>
    <n v="1080000"/>
    <n v="1026000"/>
    <n v="1008000"/>
    <s v="Normal"/>
    <n v="2000"/>
  </r>
  <r>
    <x v="458"/>
    <d v="2025-04-26T00:00:00"/>
    <x v="3"/>
    <s v="2025"/>
    <x v="3"/>
    <x v="0"/>
    <x v="1"/>
    <x v="2"/>
    <n v="9"/>
    <n v="120000"/>
    <n v="15"/>
    <n v="1080000"/>
    <n v="918000"/>
    <n v="909900"/>
    <s v="Normal"/>
    <n v="900"/>
  </r>
  <r>
    <x v="459"/>
    <d v="2025-04-29T00:00:00"/>
    <x v="3"/>
    <s v="2025"/>
    <x v="2"/>
    <x v="1"/>
    <x v="3"/>
    <x v="5"/>
    <n v="1"/>
    <n v="2500"/>
    <n v="0"/>
    <n v="2500"/>
    <n v="2500"/>
    <n v="-15500"/>
    <s v="Normal"/>
    <n v="18000"/>
  </r>
  <r>
    <x v="460"/>
    <d v="2025-04-29T00:00:00"/>
    <x v="3"/>
    <s v="2025"/>
    <x v="5"/>
    <x v="1"/>
    <x v="5"/>
    <x v="2"/>
    <n v="9"/>
    <n v="8000"/>
    <n v="0"/>
    <n v="72000"/>
    <n v="72000"/>
    <n v="64800"/>
    <s v="Normal"/>
    <n v="800"/>
  </r>
  <r>
    <x v="461"/>
    <d v="2025-04-29T00:00:00"/>
    <x v="3"/>
    <s v="2025"/>
    <x v="2"/>
    <x v="1"/>
    <x v="1"/>
    <x v="5"/>
    <n v="2"/>
    <n v="2500"/>
    <n v="5"/>
    <n v="5000"/>
    <n v="4750"/>
    <n v="-31250"/>
    <s v="Normal"/>
    <n v="18000"/>
  </r>
  <r>
    <x v="462"/>
    <d v="2025-05-01T00:00:00"/>
    <x v="4"/>
    <s v="2025"/>
    <x v="0"/>
    <x v="0"/>
    <x v="0"/>
    <x v="3"/>
    <n v="1"/>
    <n v="2500"/>
    <n v="0"/>
    <n v="2500"/>
    <n v="2500"/>
    <n v="-32500"/>
    <s v="Normal"/>
    <n v="35000"/>
  </r>
  <r>
    <x v="463"/>
    <d v="2025-05-01T00:00:00"/>
    <x v="4"/>
    <s v="2025"/>
    <x v="6"/>
    <x v="1"/>
    <x v="2"/>
    <x v="0"/>
    <n v="5"/>
    <n v="85000"/>
    <n v="15"/>
    <n v="425000"/>
    <n v="361250"/>
    <n v="358250"/>
    <s v="Normal"/>
    <n v="600"/>
  </r>
  <r>
    <x v="464"/>
    <d v="2025-05-01T00:00:00"/>
    <x v="4"/>
    <s v="2025"/>
    <x v="1"/>
    <x v="1"/>
    <x v="0"/>
    <x v="2"/>
    <n v="9"/>
    <n v="15000"/>
    <n v="0"/>
    <n v="135000"/>
    <n v="135000"/>
    <n v="117000"/>
    <s v="Normal"/>
    <n v="2000"/>
  </r>
  <r>
    <x v="465"/>
    <d v="2025-05-03T00:00:00"/>
    <x v="4"/>
    <s v="2025"/>
    <x v="6"/>
    <x v="0"/>
    <x v="2"/>
    <x v="4"/>
    <n v="3"/>
    <n v="45000"/>
    <n v="0"/>
    <n v="135000"/>
    <n v="135000"/>
    <n v="133200"/>
    <s v="Normal"/>
    <n v="600"/>
  </r>
  <r>
    <x v="466"/>
    <d v="2025-05-03T00:00:00"/>
    <x v="4"/>
    <s v="2025"/>
    <x v="3"/>
    <x v="0"/>
    <x v="4"/>
    <x v="6"/>
    <n v="7"/>
    <n v="120000"/>
    <n v="5"/>
    <n v="840000"/>
    <n v="798000"/>
    <n v="791700"/>
    <s v="Normal"/>
    <n v="900"/>
  </r>
  <r>
    <x v="467"/>
    <d v="2025-05-07T00:00:00"/>
    <x v="4"/>
    <s v="2025"/>
    <x v="5"/>
    <x v="1"/>
    <x v="3"/>
    <x v="0"/>
    <n v="9"/>
    <n v="85000"/>
    <n v="10"/>
    <n v="765000"/>
    <n v="688500"/>
    <n v="681300"/>
    <s v="Normal"/>
    <n v="800"/>
  </r>
  <r>
    <x v="468"/>
    <d v="2025-05-11T00:00:00"/>
    <x v="4"/>
    <s v="2025"/>
    <x v="4"/>
    <x v="0"/>
    <x v="1"/>
    <x v="5"/>
    <n v="8"/>
    <n v="2500"/>
    <n v="10"/>
    <n v="20000"/>
    <n v="18000"/>
    <n v="-102000"/>
    <s v="Normal"/>
    <n v="15000"/>
  </r>
  <r>
    <x v="469"/>
    <d v="2025-05-12T00:00:00"/>
    <x v="4"/>
    <s v="2025"/>
    <x v="3"/>
    <x v="1"/>
    <x v="3"/>
    <x v="4"/>
    <n v="5"/>
    <n v="15000"/>
    <n v="0"/>
    <n v="75000"/>
    <n v="75000"/>
    <n v="70500"/>
    <s v="Normal"/>
    <n v="900"/>
  </r>
  <r>
    <x v="470"/>
    <d v="2025-05-12T00:00:00"/>
    <x v="4"/>
    <s v="2025"/>
    <x v="4"/>
    <x v="1"/>
    <x v="3"/>
    <x v="2"/>
    <n v="6"/>
    <n v="15000"/>
    <n v="5"/>
    <n v="90000"/>
    <n v="85500"/>
    <n v="-4500"/>
    <s v="Normal"/>
    <n v="15000"/>
  </r>
  <r>
    <x v="471"/>
    <d v="2025-05-12T00:00:00"/>
    <x v="4"/>
    <s v="2025"/>
    <x v="2"/>
    <x v="1"/>
    <x v="4"/>
    <x v="3"/>
    <n v="3"/>
    <n v="85000"/>
    <n v="0"/>
    <n v="255000"/>
    <n v="255000"/>
    <n v="201000"/>
    <s v="Normal"/>
    <n v="18000"/>
  </r>
  <r>
    <x v="472"/>
    <d v="2025-05-13T00:00:00"/>
    <x v="4"/>
    <s v="2025"/>
    <x v="6"/>
    <x v="0"/>
    <x v="4"/>
    <x v="5"/>
    <n v="7"/>
    <n v="45000"/>
    <n v="0"/>
    <n v="315000"/>
    <n v="315000"/>
    <n v="310800"/>
    <s v="Normal"/>
    <n v="600"/>
  </r>
  <r>
    <x v="473"/>
    <d v="2025-05-15T00:00:00"/>
    <x v="4"/>
    <s v="2025"/>
    <x v="3"/>
    <x v="0"/>
    <x v="3"/>
    <x v="6"/>
    <n v="1"/>
    <n v="45000"/>
    <n v="10"/>
    <n v="45000"/>
    <n v="40500"/>
    <n v="39600"/>
    <s v="Normal"/>
    <n v="900"/>
  </r>
  <r>
    <x v="474"/>
    <d v="2025-05-15T00:00:00"/>
    <x v="4"/>
    <s v="2025"/>
    <x v="1"/>
    <x v="0"/>
    <x v="4"/>
    <x v="3"/>
    <n v="2"/>
    <n v="45000"/>
    <n v="0"/>
    <n v="90000"/>
    <n v="90000"/>
    <n v="86000"/>
    <s v="Normal"/>
    <n v="2000"/>
  </r>
  <r>
    <x v="475"/>
    <d v="2025-05-20T00:00:00"/>
    <x v="4"/>
    <s v="2025"/>
    <x v="6"/>
    <x v="1"/>
    <x v="5"/>
    <x v="6"/>
    <n v="7"/>
    <n v="85000"/>
    <n v="0"/>
    <n v="595000"/>
    <n v="595000"/>
    <n v="590800"/>
    <s v="Normal"/>
    <n v="600"/>
  </r>
  <r>
    <x v="476"/>
    <d v="2025-05-21T00:00:00"/>
    <x v="4"/>
    <s v="2025"/>
    <x v="4"/>
    <x v="0"/>
    <x v="4"/>
    <x v="1"/>
    <n v="7"/>
    <n v="1500"/>
    <n v="0"/>
    <n v="10500"/>
    <n v="10500"/>
    <n v="-94500"/>
    <s v="Normal"/>
    <n v="15000"/>
  </r>
  <r>
    <x v="477"/>
    <d v="2025-05-26T00:00:00"/>
    <x v="4"/>
    <s v="2025"/>
    <x v="1"/>
    <x v="1"/>
    <x v="2"/>
    <x v="4"/>
    <n v="2"/>
    <n v="45000"/>
    <n v="5"/>
    <n v="90000"/>
    <n v="85500"/>
    <n v="81500"/>
    <s v="Normal"/>
    <n v="2000"/>
  </r>
  <r>
    <x v="478"/>
    <d v="2025-05-27T00:00:00"/>
    <x v="4"/>
    <s v="2025"/>
    <x v="7"/>
    <x v="0"/>
    <x v="2"/>
    <x v="2"/>
    <n v="6"/>
    <n v="85000"/>
    <n v="10"/>
    <n v="510000"/>
    <n v="459000"/>
    <n v="39000"/>
    <s v="Normal"/>
    <n v="70000"/>
  </r>
  <r>
    <x v="479"/>
    <d v="2025-05-29T00:00:00"/>
    <x v="4"/>
    <s v="2025"/>
    <x v="2"/>
    <x v="0"/>
    <x v="4"/>
    <x v="0"/>
    <n v="3"/>
    <n v="120000"/>
    <n v="5"/>
    <n v="360000"/>
    <n v="342000"/>
    <n v="288000"/>
    <s v="Normal"/>
    <n v="18000"/>
  </r>
  <r>
    <x v="480"/>
    <d v="2025-05-31T00:00:00"/>
    <x v="4"/>
    <s v="2025"/>
    <x v="6"/>
    <x v="1"/>
    <x v="5"/>
    <x v="0"/>
    <n v="8"/>
    <n v="45000"/>
    <n v="10"/>
    <n v="360000"/>
    <n v="324000"/>
    <n v="319200"/>
    <s v="Normal"/>
    <n v="600"/>
  </r>
  <r>
    <x v="481"/>
    <d v="2025-06-01T00:00:00"/>
    <x v="5"/>
    <s v="2025"/>
    <x v="6"/>
    <x v="0"/>
    <x v="0"/>
    <x v="3"/>
    <n v="5"/>
    <n v="120000"/>
    <n v="0"/>
    <n v="600000"/>
    <n v="600000"/>
    <n v="597000"/>
    <s v="Normal"/>
    <n v="600"/>
  </r>
  <r>
    <x v="482"/>
    <d v="2025-06-01T00:00:00"/>
    <x v="5"/>
    <s v="2025"/>
    <x v="4"/>
    <x v="1"/>
    <x v="4"/>
    <x v="0"/>
    <n v="3"/>
    <n v="85000"/>
    <n v="10"/>
    <n v="255000"/>
    <n v="229500"/>
    <n v="184500"/>
    <s v="Normal"/>
    <n v="15000"/>
  </r>
  <r>
    <x v="483"/>
    <d v="2025-06-02T00:00:00"/>
    <x v="5"/>
    <s v="2025"/>
    <x v="4"/>
    <x v="0"/>
    <x v="0"/>
    <x v="4"/>
    <n v="1"/>
    <n v="8000"/>
    <n v="5"/>
    <n v="8000"/>
    <n v="7600"/>
    <n v="-7400"/>
    <s v="Normal"/>
    <n v="15000"/>
  </r>
  <r>
    <x v="484"/>
    <d v="2025-06-03T00:00:00"/>
    <x v="5"/>
    <s v="2025"/>
    <x v="4"/>
    <x v="0"/>
    <x v="1"/>
    <x v="6"/>
    <n v="5"/>
    <n v="120000"/>
    <n v="10"/>
    <n v="600000"/>
    <n v="540000"/>
    <n v="465000"/>
    <s v="Normal"/>
    <n v="15000"/>
  </r>
  <r>
    <x v="485"/>
    <d v="2025-06-03T00:00:00"/>
    <x v="5"/>
    <s v="2025"/>
    <x v="5"/>
    <x v="1"/>
    <x v="4"/>
    <x v="2"/>
    <n v="1"/>
    <n v="85000"/>
    <n v="0"/>
    <n v="85000"/>
    <n v="85000"/>
    <n v="84200"/>
    <s v="Normal"/>
    <n v="800"/>
  </r>
  <r>
    <x v="486"/>
    <d v="2025-06-03T00:00:00"/>
    <x v="5"/>
    <s v="2025"/>
    <x v="4"/>
    <x v="0"/>
    <x v="5"/>
    <x v="4"/>
    <n v="9"/>
    <n v="120000"/>
    <n v="5"/>
    <n v="1080000"/>
    <n v="1026000"/>
    <n v="891000"/>
    <s v="Normal"/>
    <n v="15000"/>
  </r>
  <r>
    <x v="487"/>
    <d v="2025-06-04T00:00:00"/>
    <x v="5"/>
    <s v="2025"/>
    <x v="3"/>
    <x v="1"/>
    <x v="1"/>
    <x v="6"/>
    <n v="1"/>
    <n v="2500"/>
    <n v="5"/>
    <n v="2500"/>
    <n v="2375"/>
    <n v="1475"/>
    <s v="Normal"/>
    <n v="900"/>
  </r>
  <r>
    <x v="488"/>
    <d v="2025-06-05T00:00:00"/>
    <x v="5"/>
    <s v="2025"/>
    <x v="0"/>
    <x v="0"/>
    <x v="5"/>
    <x v="2"/>
    <n v="4"/>
    <n v="120000"/>
    <n v="0"/>
    <n v="480000"/>
    <n v="480000"/>
    <n v="340000"/>
    <s v="Normal"/>
    <n v="35000"/>
  </r>
  <r>
    <x v="489"/>
    <d v="2025-06-05T00:00:00"/>
    <x v="5"/>
    <s v="2025"/>
    <x v="7"/>
    <x v="0"/>
    <x v="4"/>
    <x v="3"/>
    <n v="8"/>
    <n v="45000"/>
    <n v="10"/>
    <n v="360000"/>
    <n v="324000"/>
    <n v="-236000"/>
    <s v="Normal"/>
    <n v="70000"/>
  </r>
  <r>
    <x v="490"/>
    <d v="2025-06-07T00:00:00"/>
    <x v="5"/>
    <s v="2025"/>
    <x v="1"/>
    <x v="0"/>
    <x v="3"/>
    <x v="3"/>
    <n v="8"/>
    <n v="45000"/>
    <n v="10"/>
    <n v="360000"/>
    <n v="324000"/>
    <n v="308000"/>
    <s v="Normal"/>
    <n v="2000"/>
  </r>
  <r>
    <x v="491"/>
    <d v="2025-06-07T00:00:00"/>
    <x v="5"/>
    <s v="2025"/>
    <x v="7"/>
    <x v="1"/>
    <x v="0"/>
    <x v="1"/>
    <n v="3"/>
    <n v="15000"/>
    <n v="0"/>
    <n v="45000"/>
    <n v="45000"/>
    <n v="-165000"/>
    <s v="Normal"/>
    <n v="70000"/>
  </r>
  <r>
    <x v="492"/>
    <d v="2025-06-10T00:00:00"/>
    <x v="5"/>
    <s v="2025"/>
    <x v="5"/>
    <x v="1"/>
    <x v="4"/>
    <x v="4"/>
    <n v="9"/>
    <n v="45000"/>
    <n v="10"/>
    <n v="405000"/>
    <n v="364500"/>
    <n v="357300"/>
    <s v="Normal"/>
    <n v="800"/>
  </r>
  <r>
    <x v="493"/>
    <d v="2025-06-11T00:00:00"/>
    <x v="5"/>
    <s v="2025"/>
    <x v="0"/>
    <x v="0"/>
    <x v="5"/>
    <x v="1"/>
    <n v="3"/>
    <n v="120000"/>
    <n v="5"/>
    <n v="360000"/>
    <n v="342000"/>
    <n v="237000"/>
    <s v="Normal"/>
    <n v="35000"/>
  </r>
  <r>
    <x v="494"/>
    <d v="2025-06-13T00:00:00"/>
    <x v="5"/>
    <s v="2025"/>
    <x v="2"/>
    <x v="0"/>
    <x v="5"/>
    <x v="3"/>
    <n v="5"/>
    <n v="1500"/>
    <n v="0"/>
    <n v="7500"/>
    <n v="7500"/>
    <n v="-82500"/>
    <s v="Normal"/>
    <n v="18000"/>
  </r>
  <r>
    <x v="495"/>
    <d v="2025-06-14T00:00:00"/>
    <x v="5"/>
    <s v="2025"/>
    <x v="2"/>
    <x v="0"/>
    <x v="1"/>
    <x v="0"/>
    <n v="3"/>
    <n v="85000"/>
    <n v="5"/>
    <n v="255000"/>
    <n v="242250"/>
    <n v="188250"/>
    <s v="Normal"/>
    <n v="18000"/>
  </r>
  <r>
    <x v="496"/>
    <d v="2025-06-16T00:00:00"/>
    <x v="5"/>
    <s v="2025"/>
    <x v="5"/>
    <x v="1"/>
    <x v="1"/>
    <x v="4"/>
    <n v="9"/>
    <n v="8000"/>
    <n v="0"/>
    <n v="72000"/>
    <n v="72000"/>
    <n v="64800"/>
    <s v="Normal"/>
    <n v="800"/>
  </r>
  <r>
    <x v="497"/>
    <d v="2025-06-17T00:00:00"/>
    <x v="5"/>
    <s v="2025"/>
    <x v="3"/>
    <x v="0"/>
    <x v="5"/>
    <x v="2"/>
    <n v="7"/>
    <n v="15000"/>
    <n v="15"/>
    <n v="105000"/>
    <n v="89250"/>
    <n v="82950"/>
    <s v="Normal"/>
    <n v="900"/>
  </r>
  <r>
    <x v="498"/>
    <d v="2025-06-19T00:00:00"/>
    <x v="5"/>
    <s v="2025"/>
    <x v="5"/>
    <x v="1"/>
    <x v="1"/>
    <x v="0"/>
    <n v="3"/>
    <n v="120000"/>
    <n v="0"/>
    <n v="360000"/>
    <n v="360000"/>
    <n v="357600"/>
    <s v="Normal"/>
    <n v="800"/>
  </r>
  <r>
    <x v="499"/>
    <d v="2025-06-24T00:00:00"/>
    <x v="5"/>
    <s v="2025"/>
    <x v="3"/>
    <x v="0"/>
    <x v="2"/>
    <x v="3"/>
    <n v="4"/>
    <n v="2500"/>
    <n v="0"/>
    <n v="10000"/>
    <n v="10000"/>
    <n v="6400"/>
    <s v="Normal"/>
    <n v="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7FE9C-81EA-448C-ADAF-592B6642135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J16" firstHeaderRow="1" firstDataRow="1" firstDataCol="0"/>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CFD16-95CE-4457-B5ED-B79974DEAC3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0" firstHeaderRow="1" firstDataRow="1" firstDataCol="1"/>
  <pivotFields count="16">
    <pivotField showAll="0"/>
    <pivotField numFmtId="14" showAll="0"/>
    <pivotField showAll="0">
      <items count="13">
        <item x="0"/>
        <item x="1"/>
        <item x="2"/>
        <item x="3"/>
        <item x="4"/>
        <item x="5"/>
        <item x="6"/>
        <item x="7"/>
        <item x="8"/>
        <item x="9"/>
        <item x="10"/>
        <item x="11"/>
        <item t="default"/>
      </items>
    </pivotField>
    <pivotField showAll="0"/>
    <pivotField showAll="0"/>
    <pivotField showAll="0">
      <items count="3">
        <item x="1"/>
        <item x="0"/>
        <item t="default"/>
      </items>
    </pivotField>
    <pivotField axis="axisRow" showAll="0">
      <items count="7">
        <item x="2"/>
        <item x="0"/>
        <item x="4"/>
        <item x="3"/>
        <item x="5"/>
        <item x="1"/>
        <item t="default"/>
      </items>
    </pivotField>
    <pivotField showAll="0"/>
    <pivotField showAll="0"/>
    <pivotField showAll="0"/>
    <pivotField showAll="0"/>
    <pivotField showAll="0"/>
    <pivotField dataField="1" showAll="0"/>
    <pivotField showAll="0"/>
    <pivotField showAll="0"/>
    <pivotField showAll="0"/>
  </pivotFields>
  <rowFields count="1">
    <field x="6"/>
  </rowFields>
  <rowItems count="7">
    <i>
      <x/>
    </i>
    <i>
      <x v="1"/>
    </i>
    <i>
      <x v="2"/>
    </i>
    <i>
      <x v="3"/>
    </i>
    <i>
      <x v="4"/>
    </i>
    <i>
      <x v="5"/>
    </i>
    <i t="grand">
      <x/>
    </i>
  </rowItems>
  <colItems count="1">
    <i/>
  </colItems>
  <dataFields count="1">
    <dataField name="Sum of FinalPrice"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A57B48-8AC4-4DE6-B1CD-27DC2F8F235E}" name="sales-person-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1" firstHeaderRow="1" firstDataRow="1" firstDataCol="1"/>
  <pivotFields count="16">
    <pivotField showAll="0"/>
    <pivotField numFmtId="14" showAll="0"/>
    <pivotField showAll="0">
      <items count="13">
        <item x="0"/>
        <item x="1"/>
        <item x="2"/>
        <item x="3"/>
        <item x="4"/>
        <item x="5"/>
        <item x="6"/>
        <item x="7"/>
        <item x="8"/>
        <item x="9"/>
        <item x="10"/>
        <item x="11"/>
        <item t="default"/>
      </items>
    </pivotField>
    <pivotField showAll="0"/>
    <pivotField showAll="0"/>
    <pivotField showAll="0">
      <items count="3">
        <item x="1"/>
        <item x="0"/>
        <item t="default"/>
      </items>
    </pivotField>
    <pivotField showAll="0">
      <items count="7">
        <item x="2"/>
        <item x="0"/>
        <item x="4"/>
        <item x="3"/>
        <item x="5"/>
        <item x="1"/>
        <item t="default"/>
      </items>
    </pivotField>
    <pivotField axis="axisRow" showAll="0" sortType="descending">
      <items count="8">
        <item x="4"/>
        <item x="1"/>
        <item x="3"/>
        <item x="0"/>
        <item x="2"/>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7"/>
  </rowFields>
  <rowItems count="8">
    <i>
      <x v="5"/>
    </i>
    <i>
      <x v="1"/>
    </i>
    <i>
      <x v="3"/>
    </i>
    <i>
      <x v="4"/>
    </i>
    <i>
      <x/>
    </i>
    <i>
      <x v="6"/>
    </i>
    <i>
      <x v="2"/>
    </i>
    <i t="grand">
      <x/>
    </i>
  </rowItems>
  <colItems count="1">
    <i/>
  </colItems>
  <dataFields count="1">
    <dataField name="Sum of FinalPric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4D9502-5CA3-458C-A8FE-91CA5EF8B35C}" name="Total or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H14" firstHeaderRow="1" firstDataRow="1" firstDataCol="0"/>
  <pivotFields count="16">
    <pivotField dataField="1" showAll="0" countASubtotal="1">
      <items count="501">
        <item x="111"/>
        <item x="21"/>
        <item x="277"/>
        <item x="241"/>
        <item x="215"/>
        <item x="134"/>
        <item x="98"/>
        <item x="84"/>
        <item x="407"/>
        <item x="26"/>
        <item x="24"/>
        <item x="88"/>
        <item x="207"/>
        <item x="224"/>
        <item x="482"/>
        <item x="22"/>
        <item x="187"/>
        <item x="403"/>
        <item x="211"/>
        <item x="436"/>
        <item x="281"/>
        <item x="8"/>
        <item x="154"/>
        <item x="408"/>
        <item x="339"/>
        <item x="280"/>
        <item x="149"/>
        <item x="205"/>
        <item x="335"/>
        <item x="99"/>
        <item x="87"/>
        <item x="367"/>
        <item x="93"/>
        <item x="351"/>
        <item x="341"/>
        <item x="262"/>
        <item x="34"/>
        <item x="448"/>
        <item x="120"/>
        <item x="363"/>
        <item x="76"/>
        <item x="295"/>
        <item x="353"/>
        <item x="181"/>
        <item x="64"/>
        <item x="37"/>
        <item x="219"/>
        <item x="293"/>
        <item x="78"/>
        <item x="225"/>
        <item x="97"/>
        <item x="369"/>
        <item x="282"/>
        <item x="440"/>
        <item x="357"/>
        <item x="159"/>
        <item x="360"/>
        <item x="349"/>
        <item x="193"/>
        <item x="270"/>
        <item x="69"/>
        <item x="166"/>
        <item x="239"/>
        <item x="161"/>
        <item x="450"/>
        <item x="366"/>
        <item x="273"/>
        <item x="210"/>
        <item x="324"/>
        <item x="45"/>
        <item x="220"/>
        <item x="25"/>
        <item x="317"/>
        <item x="386"/>
        <item x="272"/>
        <item x="58"/>
        <item x="198"/>
        <item x="316"/>
        <item x="199"/>
        <item x="477"/>
        <item x="379"/>
        <item x="447"/>
        <item x="137"/>
        <item x="268"/>
        <item x="135"/>
        <item x="243"/>
        <item x="259"/>
        <item x="418"/>
        <item x="381"/>
        <item x="352"/>
        <item x="208"/>
        <item x="132"/>
        <item x="488"/>
        <item x="475"/>
        <item x="85"/>
        <item x="39"/>
        <item x="108"/>
        <item x="143"/>
        <item x="156"/>
        <item x="410"/>
        <item x="57"/>
        <item x="374"/>
        <item x="370"/>
        <item x="457"/>
        <item x="252"/>
        <item x="13"/>
        <item x="113"/>
        <item x="271"/>
        <item x="338"/>
        <item x="112"/>
        <item x="294"/>
        <item x="424"/>
        <item x="152"/>
        <item x="441"/>
        <item x="4"/>
        <item x="258"/>
        <item x="478"/>
        <item x="171"/>
        <item x="486"/>
        <item x="102"/>
        <item x="298"/>
        <item x="485"/>
        <item x="185"/>
        <item x="144"/>
        <item x="362"/>
        <item x="158"/>
        <item x="0"/>
        <item x="323"/>
        <item x="474"/>
        <item x="15"/>
        <item x="109"/>
        <item x="354"/>
        <item x="307"/>
        <item x="234"/>
        <item x="48"/>
        <item x="235"/>
        <item x="77"/>
        <item x="83"/>
        <item x="469"/>
        <item x="61"/>
        <item x="122"/>
        <item x="125"/>
        <item x="464"/>
        <item x="163"/>
        <item x="265"/>
        <item x="499"/>
        <item x="414"/>
        <item x="197"/>
        <item x="189"/>
        <item x="311"/>
        <item x="383"/>
        <item x="361"/>
        <item x="427"/>
        <item x="494"/>
        <item x="439"/>
        <item x="118"/>
        <item x="244"/>
        <item x="216"/>
        <item x="55"/>
        <item x="336"/>
        <item x="17"/>
        <item x="222"/>
        <item x="212"/>
        <item x="9"/>
        <item x="67"/>
        <item x="50"/>
        <item x="221"/>
        <item x="60"/>
        <item x="27"/>
        <item x="329"/>
        <item x="68"/>
        <item x="492"/>
        <item x="231"/>
        <item x="284"/>
        <item x="470"/>
        <item x="204"/>
        <item x="129"/>
        <item x="459"/>
        <item x="236"/>
        <item x="461"/>
        <item x="394"/>
        <item x="175"/>
        <item x="91"/>
        <item x="92"/>
        <item x="421"/>
        <item x="348"/>
        <item x="412"/>
        <item x="397"/>
        <item x="456"/>
        <item x="44"/>
        <item x="95"/>
        <item x="52"/>
        <item x="388"/>
        <item x="337"/>
        <item x="107"/>
        <item x="246"/>
        <item x="180"/>
        <item x="176"/>
        <item x="437"/>
        <item x="136"/>
        <item x="409"/>
        <item x="173"/>
        <item x="286"/>
        <item x="451"/>
        <item x="248"/>
        <item x="73"/>
        <item x="433"/>
        <item x="94"/>
        <item x="40"/>
        <item x="14"/>
        <item x="89"/>
        <item x="230"/>
        <item x="164"/>
        <item x="393"/>
        <item x="471"/>
        <item x="467"/>
        <item x="202"/>
        <item x="387"/>
        <item x="51"/>
        <item x="162"/>
        <item x="364"/>
        <item x="3"/>
        <item x="377"/>
        <item x="267"/>
        <item x="442"/>
        <item x="291"/>
        <item x="413"/>
        <item x="472"/>
        <item x="146"/>
        <item x="177"/>
        <item x="297"/>
        <item x="206"/>
        <item x="49"/>
        <item x="53"/>
        <item x="314"/>
        <item x="46"/>
        <item x="41"/>
        <item x="465"/>
        <item x="479"/>
        <item x="151"/>
        <item x="47"/>
        <item x="487"/>
        <item x="79"/>
        <item x="174"/>
        <item x="62"/>
        <item x="59"/>
        <item x="226"/>
        <item x="390"/>
        <item x="117"/>
        <item x="242"/>
        <item x="32"/>
        <item x="81"/>
        <item x="404"/>
        <item x="498"/>
        <item x="318"/>
        <item x="255"/>
        <item x="191"/>
        <item x="315"/>
        <item x="233"/>
        <item x="266"/>
        <item x="380"/>
        <item x="127"/>
        <item x="302"/>
        <item x="445"/>
        <item x="319"/>
        <item x="70"/>
        <item x="11"/>
        <item x="446"/>
        <item x="96"/>
        <item x="72"/>
        <item x="200"/>
        <item x="483"/>
        <item x="264"/>
        <item x="128"/>
        <item x="343"/>
        <item x="63"/>
        <item x="240"/>
        <item x="359"/>
        <item x="289"/>
        <item x="150"/>
        <item x="428"/>
        <item x="304"/>
        <item x="10"/>
        <item x="300"/>
        <item x="101"/>
        <item x="131"/>
        <item x="261"/>
        <item x="116"/>
        <item x="103"/>
        <item x="148"/>
        <item x="275"/>
        <item x="287"/>
        <item x="196"/>
        <item x="340"/>
        <item x="190"/>
        <item x="260"/>
        <item x="481"/>
        <item x="473"/>
        <item x="251"/>
        <item x="43"/>
        <item x="86"/>
        <item x="411"/>
        <item x="278"/>
        <item x="36"/>
        <item x="5"/>
        <item x="332"/>
        <item x="126"/>
        <item x="257"/>
        <item x="157"/>
        <item x="430"/>
        <item x="417"/>
        <item x="12"/>
        <item x="110"/>
        <item x="74"/>
        <item x="141"/>
        <item x="28"/>
        <item x="358"/>
        <item x="140"/>
        <item x="420"/>
        <item x="123"/>
        <item x="33"/>
        <item x="308"/>
        <item x="356"/>
        <item x="31"/>
        <item x="350"/>
        <item x="194"/>
        <item x="250"/>
        <item x="100"/>
        <item x="347"/>
        <item x="392"/>
        <item x="147"/>
        <item x="229"/>
        <item x="160"/>
        <item x="169"/>
        <item x="399"/>
        <item x="19"/>
        <item x="172"/>
        <item x="331"/>
        <item x="398"/>
        <item x="247"/>
        <item x="269"/>
        <item x="155"/>
        <item x="105"/>
        <item x="371"/>
        <item x="29"/>
        <item x="458"/>
        <item x="213"/>
        <item x="188"/>
        <item x="449"/>
        <item x="344"/>
        <item x="306"/>
        <item x="218"/>
        <item x="214"/>
        <item x="18"/>
        <item x="182"/>
        <item x="382"/>
        <item x="326"/>
        <item x="285"/>
        <item x="66"/>
        <item x="283"/>
        <item x="345"/>
        <item x="489"/>
        <item x="384"/>
        <item x="330"/>
        <item x="23"/>
        <item x="114"/>
        <item x="256"/>
        <item x="170"/>
        <item x="263"/>
        <item x="30"/>
        <item x="106"/>
        <item x="423"/>
        <item x="342"/>
        <item x="312"/>
        <item x="426"/>
        <item x="490"/>
        <item x="115"/>
        <item x="375"/>
        <item x="178"/>
        <item x="253"/>
        <item x="35"/>
        <item x="425"/>
        <item x="2"/>
        <item x="496"/>
        <item x="184"/>
        <item x="355"/>
        <item x="422"/>
        <item x="65"/>
        <item x="327"/>
        <item x="313"/>
        <item x="121"/>
        <item x="301"/>
        <item x="484"/>
        <item x="309"/>
        <item x="396"/>
        <item x="325"/>
        <item x="389"/>
        <item x="296"/>
        <item x="124"/>
        <item x="179"/>
        <item x="406"/>
        <item x="365"/>
        <item x="167"/>
        <item x="303"/>
        <item x="391"/>
        <item x="1"/>
        <item x="305"/>
        <item x="292"/>
        <item x="195"/>
        <item x="419"/>
        <item x="322"/>
        <item x="454"/>
        <item x="432"/>
        <item x="431"/>
        <item x="201"/>
        <item x="491"/>
        <item x="460"/>
        <item x="165"/>
        <item x="82"/>
        <item x="288"/>
        <item x="493"/>
        <item x="333"/>
        <item x="90"/>
        <item x="228"/>
        <item x="310"/>
        <item x="217"/>
        <item x="186"/>
        <item x="138"/>
        <item x="20"/>
        <item x="38"/>
        <item x="238"/>
        <item x="463"/>
        <item x="71"/>
        <item x="443"/>
        <item x="401"/>
        <item x="183"/>
        <item x="373"/>
        <item x="476"/>
        <item x="385"/>
        <item x="237"/>
        <item x="139"/>
        <item x="6"/>
        <item x="104"/>
        <item x="415"/>
        <item x="209"/>
        <item x="168"/>
        <item x="495"/>
        <item x="453"/>
        <item x="42"/>
        <item x="249"/>
        <item x="119"/>
        <item x="444"/>
        <item x="130"/>
        <item x="452"/>
        <item x="320"/>
        <item x="434"/>
        <item x="480"/>
        <item x="416"/>
        <item x="435"/>
        <item x="153"/>
        <item x="462"/>
        <item x="438"/>
        <item x="254"/>
        <item x="245"/>
        <item x="279"/>
        <item x="497"/>
        <item x="468"/>
        <item x="232"/>
        <item x="276"/>
        <item x="429"/>
        <item x="75"/>
        <item x="290"/>
        <item x="227"/>
        <item x="274"/>
        <item x="334"/>
        <item x="321"/>
        <item x="80"/>
        <item x="133"/>
        <item x="142"/>
        <item x="223"/>
        <item x="372"/>
        <item x="145"/>
        <item x="203"/>
        <item x="56"/>
        <item x="400"/>
        <item x="395"/>
        <item x="328"/>
        <item x="455"/>
        <item x="402"/>
        <item x="54"/>
        <item x="192"/>
        <item x="405"/>
        <item x="376"/>
        <item x="16"/>
        <item x="368"/>
        <item x="466"/>
        <item x="7"/>
        <item x="346"/>
        <item x="299"/>
        <item x="378"/>
        <item t="countA"/>
      </items>
    </pivotField>
    <pivotField numFmtId="14" showAll="0"/>
    <pivotField showAll="0">
      <items count="13">
        <item x="0"/>
        <item x="1"/>
        <item x="2"/>
        <item x="3"/>
        <item x="4"/>
        <item x="5"/>
        <item x="6"/>
        <item x="7"/>
        <item x="8"/>
        <item x="9"/>
        <item x="10"/>
        <item x="11"/>
        <item t="default"/>
      </items>
    </pivotField>
    <pivotField showAll="0"/>
    <pivotField showAll="0"/>
    <pivotField showAll="0">
      <items count="3">
        <item x="1"/>
        <item x="0"/>
        <item t="default"/>
      </items>
    </pivotField>
    <pivotField showAll="0">
      <items count="7">
        <item x="2"/>
        <item x="0"/>
        <item x="4"/>
        <item x="3"/>
        <item x="5"/>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C28CF6-1B2A-4E8C-9AAF-5C594140498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F17" firstHeaderRow="1" firstDataRow="1" firstDataCol="0"/>
  <pivotFields count="16">
    <pivotField showAll="0"/>
    <pivotField numFmtId="14" showAll="0"/>
    <pivotField showAll="0">
      <items count="13">
        <item x="0"/>
        <item x="1"/>
        <item x="2"/>
        <item x="3"/>
        <item x="4"/>
        <item x="5"/>
        <item x="6"/>
        <item x="7"/>
        <item x="8"/>
        <item x="9"/>
        <item x="10"/>
        <item x="11"/>
        <item t="default"/>
      </items>
    </pivotField>
    <pivotField showAll="0"/>
    <pivotField showAll="0"/>
    <pivotField showAll="0">
      <items count="3">
        <item x="1"/>
        <item x="0"/>
        <item t="default"/>
      </items>
    </pivotField>
    <pivotField showAll="0">
      <items count="7">
        <item x="2"/>
        <item x="0"/>
        <item x="4"/>
        <item x="3"/>
        <item x="5"/>
        <item x="1"/>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Total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693748-D6F8-404E-9ACF-47B7F9D0D4DF}" name="month-wise-sales-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D16" firstHeaderRow="1" firstDataRow="1" firstDataCol="1"/>
  <pivotFields count="16">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items count="3">
        <item x="1"/>
        <item x="0"/>
        <item t="default"/>
      </items>
    </pivotField>
    <pivotField showAll="0">
      <items count="7">
        <item x="2"/>
        <item x="0"/>
        <item x="4"/>
        <item x="3"/>
        <item x="5"/>
        <item x="1"/>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FinalPrice"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71304E-C3DC-49CD-97C9-5A0633EA9ED7}" name="Total-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G14" firstHeaderRow="1" firstDataRow="1" firstDataCol="0"/>
  <pivotFields count="16">
    <pivotField showAll="0"/>
    <pivotField numFmtId="14" showAll="0"/>
    <pivotField showAll="0">
      <items count="13">
        <item x="0"/>
        <item x="1"/>
        <item x="2"/>
        <item x="3"/>
        <item x="4"/>
        <item x="5"/>
        <item x="6"/>
        <item x="7"/>
        <item x="8"/>
        <item x="9"/>
        <item x="10"/>
        <item x="11"/>
        <item t="default"/>
      </items>
    </pivotField>
    <pivotField showAll="0"/>
    <pivotField showAll="0"/>
    <pivotField showAll="0">
      <items count="3">
        <item x="1"/>
        <item x="0"/>
        <item t="default"/>
      </items>
    </pivotField>
    <pivotField showAll="0">
      <items count="7">
        <item x="2"/>
        <item x="0"/>
        <item x="4"/>
        <item x="3"/>
        <item x="5"/>
        <item x="1"/>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B76D9F-82A5-4C2C-BB96-34DEAFEEC8AB}" name="region-wise-producr-wise-total-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8" firstHeaderRow="1" firstDataRow="1" firstDataCol="1"/>
  <pivotFields count="16">
    <pivotField showAll="0"/>
    <pivotField numFmtId="14" showAll="0"/>
    <pivotField showAll="0">
      <items count="13">
        <item x="0"/>
        <item x="1"/>
        <item x="2"/>
        <item x="3"/>
        <item x="4"/>
        <item x="5"/>
        <item x="6"/>
        <item x="7"/>
        <item x="8"/>
        <item x="9"/>
        <item x="10"/>
        <item x="11"/>
        <item t="default"/>
      </items>
    </pivotField>
    <pivotField showAll="0"/>
    <pivotField axis="axisRow" showAll="0">
      <items count="9">
        <item x="5"/>
        <item x="1"/>
        <item x="3"/>
        <item x="7"/>
        <item x="0"/>
        <item x="4"/>
        <item x="6"/>
        <item x="2"/>
        <item t="default"/>
      </items>
    </pivotField>
    <pivotField showAll="0">
      <items count="3">
        <item x="1"/>
        <item x="0"/>
        <item t="default"/>
      </items>
    </pivotField>
    <pivotField axis="axisRow" showAll="0">
      <items count="7">
        <item x="2"/>
        <item x="0"/>
        <item x="4"/>
        <item x="3"/>
        <item x="5"/>
        <item x="1"/>
        <item t="default"/>
      </items>
    </pivotField>
    <pivotField showAll="0"/>
    <pivotField showAll="0"/>
    <pivotField showAll="0"/>
    <pivotField showAll="0"/>
    <pivotField showAll="0"/>
    <pivotField dataField="1" showAll="0"/>
    <pivotField showAll="0"/>
    <pivotField showAll="0"/>
    <pivotField showAll="0"/>
  </pivotFields>
  <rowFields count="2">
    <field x="6"/>
    <field x="4"/>
  </rowFields>
  <rowItems count="55">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x v="5"/>
    </i>
    <i r="1">
      <x/>
    </i>
    <i r="1">
      <x v="1"/>
    </i>
    <i r="1">
      <x v="2"/>
    </i>
    <i r="1">
      <x v="3"/>
    </i>
    <i r="1">
      <x v="4"/>
    </i>
    <i r="1">
      <x v="5"/>
    </i>
    <i r="1">
      <x v="6"/>
    </i>
    <i r="1">
      <x v="7"/>
    </i>
    <i t="grand">
      <x/>
    </i>
  </rowItems>
  <colItems count="1">
    <i/>
  </colItems>
  <dataFields count="1">
    <dataField name="Sum of FinalPric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21B09C-E8DE-436E-BC87-9BE11EA4CC17}" name="Total-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E15" firstHeaderRow="1" firstDataRow="1" firstDataCol="0"/>
  <pivotFields count="16">
    <pivotField showAll="0"/>
    <pivotField numFmtId="14" showAll="0"/>
    <pivotField showAll="0">
      <items count="13">
        <item x="0"/>
        <item x="1"/>
        <item x="2"/>
        <item x="3"/>
        <item x="4"/>
        <item x="5"/>
        <item x="6"/>
        <item x="7"/>
        <item x="8"/>
        <item x="9"/>
        <item x="10"/>
        <item x="11"/>
        <item t="default"/>
      </items>
    </pivotField>
    <pivotField showAll="0"/>
    <pivotField showAll="0"/>
    <pivotField showAll="0">
      <items count="3">
        <item x="1"/>
        <item x="0"/>
        <item t="default"/>
      </items>
    </pivotField>
    <pivotField showAll="0">
      <items count="7">
        <item x="2"/>
        <item x="0"/>
        <item x="4"/>
        <item x="3"/>
        <item x="5"/>
        <item x="1"/>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D30E7F-3446-4A8D-B890-5475A6C797DB}" sourceName="Region">
  <pivotTables>
    <pivotTable tabId="5" name="month-wise-sales-trend"/>
    <pivotTable tabId="5" name="PivotTable4"/>
    <pivotTable tabId="5" name="region-wise-producr-wise-total-sales"/>
    <pivotTable tabId="5" name="sales-person-performance"/>
    <pivotTable tabId="5" name="PivotTable3"/>
    <pivotTable tabId="5" name="Total order"/>
    <pivotTable tabId="5" name="Total-profit"/>
    <pivotTable tabId="5" name="Total-sales"/>
  </pivotTables>
  <data>
    <tabular pivotCacheId="460568770">
      <items count="6">
        <i x="2" s="1"/>
        <i x="0" s="1"/>
        <i x="4" s="1"/>
        <i x="3"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DED3BC-7FBA-43D2-AA9F-5177C18AE46E}" sourceName="Category">
  <pivotTables>
    <pivotTable tabId="5" name="month-wise-sales-trend"/>
    <pivotTable tabId="5" name="PivotTable4"/>
    <pivotTable tabId="5" name="region-wise-producr-wise-total-sales"/>
    <pivotTable tabId="5" name="sales-person-performance"/>
    <pivotTable tabId="5" name="PivotTable3"/>
    <pivotTable tabId="5" name="Total order"/>
    <pivotTable tabId="5" name="Total-profit"/>
    <pivotTable tabId="5" name="Total-sales"/>
  </pivotTables>
  <data>
    <tabular pivotCacheId="46056877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2F13292-CE01-465D-835C-5C9B91E35900}" sourceName="Month name">
  <pivotTables>
    <pivotTable tabId="5" name="month-wise-sales-trend"/>
    <pivotTable tabId="5" name="PivotTable4"/>
    <pivotTable tabId="5" name="region-wise-producr-wise-total-sales"/>
    <pivotTable tabId="5" name="sales-person-performance"/>
    <pivotTable tabId="5" name="PivotTable3"/>
    <pivotTable tabId="5" name="Total order"/>
    <pivotTable tabId="5" name="Total-profit"/>
    <pivotTable tabId="5" name="Total-sales"/>
  </pivotTables>
  <data>
    <tabular pivotCacheId="46056877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25A206A-DB50-438A-8AD7-EA490570B310}" cache="Slicer_Region" caption="Region" columnCount="2" style="Slicer Style 1" rowHeight="252000"/>
  <slicer name="Category" xr10:uid="{F3FC8F11-0D20-4F37-BFA4-FC60D4179507}" cache="Slicer_Category" caption="Category" columnCount="2" style="Slicer Style 1" rowHeight="252000"/>
  <slicer name="Month name" xr10:uid="{3B22E8F0-2ECE-4853-AC6A-0036AD5366C6}" cache="Slicer_Month_name" caption="Month name" columnCount="2" style="Slicer Style 1"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B3730-8537-4FB1-8374-FDAB1BEEF77C}">
  <dimension ref="A3:J58"/>
  <sheetViews>
    <sheetView topLeftCell="C1" workbookViewId="0">
      <selection activeCell="G14" sqref="G14"/>
    </sheetView>
  </sheetViews>
  <sheetFormatPr defaultRowHeight="14.5" x14ac:dyDescent="0.35"/>
  <cols>
    <col min="1" max="1" width="14.36328125" bestFit="1" customWidth="1"/>
    <col min="2" max="2" width="15.1796875" bestFit="1" customWidth="1"/>
    <col min="3" max="3" width="12.36328125" bestFit="1" customWidth="1"/>
    <col min="4" max="4" width="15.1796875" bestFit="1" customWidth="1"/>
    <col min="5" max="5" width="9.7265625" bestFit="1" customWidth="1"/>
    <col min="6" max="6" width="13" bestFit="1" customWidth="1"/>
    <col min="7" max="7" width="10.26953125" bestFit="1" customWidth="1"/>
    <col min="8" max="8" width="10.453125" bestFit="1" customWidth="1"/>
    <col min="10" max="10" width="11.81640625" bestFit="1" customWidth="1"/>
  </cols>
  <sheetData>
    <row r="3" spans="1:10" x14ac:dyDescent="0.35">
      <c r="A3" s="12" t="s">
        <v>1172</v>
      </c>
      <c r="B3" t="s">
        <v>1174</v>
      </c>
      <c r="C3" s="12" t="s">
        <v>1172</v>
      </c>
      <c r="D3" t="s">
        <v>1174</v>
      </c>
      <c r="E3" s="12" t="s">
        <v>1172</v>
      </c>
      <c r="F3" t="s">
        <v>1174</v>
      </c>
      <c r="G3" s="12" t="s">
        <v>1172</v>
      </c>
      <c r="H3" t="s">
        <v>1174</v>
      </c>
    </row>
    <row r="4" spans="1:10" x14ac:dyDescent="0.35">
      <c r="A4" s="13" t="s">
        <v>21</v>
      </c>
      <c r="B4" s="7">
        <v>16109775</v>
      </c>
      <c r="C4" s="13" t="s">
        <v>1175</v>
      </c>
      <c r="D4" s="7">
        <v>9020225</v>
      </c>
      <c r="E4" s="13" t="s">
        <v>49</v>
      </c>
      <c r="F4" s="7">
        <v>16020275</v>
      </c>
      <c r="G4" s="13" t="s">
        <v>21</v>
      </c>
      <c r="H4" s="7">
        <v>16109775</v>
      </c>
    </row>
    <row r="5" spans="1:10" x14ac:dyDescent="0.35">
      <c r="A5" s="14" t="s">
        <v>36</v>
      </c>
      <c r="B5" s="7">
        <v>1726750</v>
      </c>
      <c r="C5" s="13" t="s">
        <v>1176</v>
      </c>
      <c r="D5" s="7">
        <v>9395325</v>
      </c>
      <c r="E5" s="13" t="s">
        <v>25</v>
      </c>
      <c r="F5" s="7">
        <v>15243825</v>
      </c>
      <c r="G5" s="13" t="s">
        <v>14</v>
      </c>
      <c r="H5" s="7">
        <v>10997300</v>
      </c>
    </row>
    <row r="6" spans="1:10" x14ac:dyDescent="0.35">
      <c r="A6" s="14" t="s">
        <v>17</v>
      </c>
      <c r="B6" s="7">
        <v>2706475</v>
      </c>
      <c r="C6" s="13" t="s">
        <v>1177</v>
      </c>
      <c r="D6" s="7">
        <v>14801725</v>
      </c>
      <c r="E6" s="13" t="s">
        <v>15</v>
      </c>
      <c r="F6" s="7">
        <v>14549800</v>
      </c>
      <c r="G6" s="13" t="s">
        <v>37</v>
      </c>
      <c r="H6" s="7">
        <v>16120625</v>
      </c>
    </row>
    <row r="7" spans="1:10" x14ac:dyDescent="0.35">
      <c r="A7" s="14" t="s">
        <v>27</v>
      </c>
      <c r="B7" s="7">
        <v>2525800</v>
      </c>
      <c r="C7" s="13" t="s">
        <v>1178</v>
      </c>
      <c r="D7" s="7">
        <v>11302975</v>
      </c>
      <c r="E7" s="13" t="s">
        <v>29</v>
      </c>
      <c r="F7" s="7">
        <v>13403550</v>
      </c>
      <c r="G7" s="13" t="s">
        <v>24</v>
      </c>
      <c r="H7" s="7">
        <v>13704875</v>
      </c>
    </row>
    <row r="8" spans="1:10" x14ac:dyDescent="0.35">
      <c r="A8" s="14" t="s">
        <v>54</v>
      </c>
      <c r="B8" s="7">
        <v>1201625</v>
      </c>
      <c r="C8" s="13" t="s">
        <v>1179</v>
      </c>
      <c r="D8" s="7">
        <v>11194575</v>
      </c>
      <c r="E8" s="13" t="s">
        <v>34</v>
      </c>
      <c r="F8" s="7">
        <v>13075275</v>
      </c>
      <c r="G8" s="13" t="s">
        <v>39</v>
      </c>
      <c r="H8" s="7">
        <v>19777400</v>
      </c>
    </row>
    <row r="9" spans="1:10" x14ac:dyDescent="0.35">
      <c r="A9" s="14" t="s">
        <v>12</v>
      </c>
      <c r="B9" s="7">
        <v>1450850</v>
      </c>
      <c r="C9" s="13" t="s">
        <v>1180</v>
      </c>
      <c r="D9" s="7">
        <v>10377225</v>
      </c>
      <c r="E9" s="13" t="s">
        <v>40</v>
      </c>
      <c r="F9" s="7">
        <v>11696525</v>
      </c>
      <c r="G9" s="13" t="s">
        <v>19</v>
      </c>
      <c r="H9" s="7">
        <v>17526700</v>
      </c>
    </row>
    <row r="10" spans="1:10" x14ac:dyDescent="0.35">
      <c r="A10" s="14" t="s">
        <v>31</v>
      </c>
      <c r="B10" s="7">
        <v>2480250</v>
      </c>
      <c r="C10" s="13" t="s">
        <v>1181</v>
      </c>
      <c r="D10" s="7">
        <v>2800375</v>
      </c>
      <c r="E10" s="13" t="s">
        <v>32</v>
      </c>
      <c r="F10" s="7">
        <v>10247425</v>
      </c>
      <c r="G10" s="13" t="s">
        <v>1173</v>
      </c>
      <c r="H10" s="7">
        <v>94236675</v>
      </c>
    </row>
    <row r="11" spans="1:10" x14ac:dyDescent="0.35">
      <c r="A11" s="14" t="s">
        <v>42</v>
      </c>
      <c r="B11" s="7">
        <v>2572250</v>
      </c>
      <c r="C11" s="13" t="s">
        <v>1182</v>
      </c>
      <c r="D11" s="7">
        <v>7226350</v>
      </c>
      <c r="E11" s="13" t="s">
        <v>1173</v>
      </c>
      <c r="F11" s="7">
        <v>94236675</v>
      </c>
    </row>
    <row r="12" spans="1:10" x14ac:dyDescent="0.35">
      <c r="A12" s="14" t="s">
        <v>23</v>
      </c>
      <c r="B12" s="7">
        <v>1445775</v>
      </c>
      <c r="C12" s="13" t="s">
        <v>1183</v>
      </c>
      <c r="D12" s="7">
        <v>5568050</v>
      </c>
    </row>
    <row r="13" spans="1:10" x14ac:dyDescent="0.35">
      <c r="A13" s="13" t="s">
        <v>14</v>
      </c>
      <c r="B13" s="7">
        <v>10997300</v>
      </c>
      <c r="C13" s="13" t="s">
        <v>1184</v>
      </c>
      <c r="D13" s="7">
        <v>4330875</v>
      </c>
      <c r="G13" t="s">
        <v>1188</v>
      </c>
      <c r="H13" t="s">
        <v>1190</v>
      </c>
    </row>
    <row r="14" spans="1:10" x14ac:dyDescent="0.35">
      <c r="A14" s="14" t="s">
        <v>36</v>
      </c>
      <c r="B14" s="7">
        <v>725000</v>
      </c>
      <c r="C14" s="13" t="s">
        <v>1185</v>
      </c>
      <c r="D14" s="7">
        <v>5504100</v>
      </c>
      <c r="E14" t="s">
        <v>1187</v>
      </c>
      <c r="G14" s="7">
        <v>48252975</v>
      </c>
      <c r="H14" s="7">
        <v>500</v>
      </c>
    </row>
    <row r="15" spans="1:10" x14ac:dyDescent="0.35">
      <c r="A15" s="14" t="s">
        <v>17</v>
      </c>
      <c r="B15" s="7">
        <v>1192100</v>
      </c>
      <c r="C15" s="13" t="s">
        <v>1186</v>
      </c>
      <c r="D15" s="7">
        <v>2714875</v>
      </c>
      <c r="E15" s="7">
        <v>94236675</v>
      </c>
      <c r="J15" t="s">
        <v>1191</v>
      </c>
    </row>
    <row r="16" spans="1:10" x14ac:dyDescent="0.35">
      <c r="A16" s="14" t="s">
        <v>27</v>
      </c>
      <c r="B16" s="7">
        <v>167050</v>
      </c>
      <c r="C16" s="13" t="s">
        <v>1173</v>
      </c>
      <c r="D16" s="7">
        <v>94236675</v>
      </c>
      <c r="F16" t="s">
        <v>1189</v>
      </c>
      <c r="J16" s="7">
        <v>48252975</v>
      </c>
    </row>
    <row r="17" spans="1:6" x14ac:dyDescent="0.35">
      <c r="A17" s="14" t="s">
        <v>54</v>
      </c>
      <c r="B17" s="7">
        <v>2730575</v>
      </c>
      <c r="F17" s="7">
        <v>2500</v>
      </c>
    </row>
    <row r="18" spans="1:6" x14ac:dyDescent="0.35">
      <c r="A18" s="14" t="s">
        <v>12</v>
      </c>
      <c r="B18" s="7">
        <v>817600</v>
      </c>
    </row>
    <row r="19" spans="1:6" x14ac:dyDescent="0.35">
      <c r="A19" s="14" t="s">
        <v>31</v>
      </c>
      <c r="B19" s="7">
        <v>1848625</v>
      </c>
    </row>
    <row r="20" spans="1:6" x14ac:dyDescent="0.35">
      <c r="A20" s="14" t="s">
        <v>42</v>
      </c>
      <c r="B20" s="7">
        <v>2258125</v>
      </c>
    </row>
    <row r="21" spans="1:6" x14ac:dyDescent="0.35">
      <c r="A21" s="14" t="s">
        <v>23</v>
      </c>
      <c r="B21" s="7">
        <v>1258225</v>
      </c>
    </row>
    <row r="22" spans="1:6" x14ac:dyDescent="0.35">
      <c r="A22" s="13" t="s">
        <v>37</v>
      </c>
      <c r="B22" s="7">
        <v>16120625</v>
      </c>
    </row>
    <row r="23" spans="1:6" x14ac:dyDescent="0.35">
      <c r="A23" s="14" t="s">
        <v>36</v>
      </c>
      <c r="B23" s="7">
        <v>1295750</v>
      </c>
    </row>
    <row r="24" spans="1:6" x14ac:dyDescent="0.35">
      <c r="A24" s="14" t="s">
        <v>17</v>
      </c>
      <c r="B24" s="7">
        <v>3326900</v>
      </c>
    </row>
    <row r="25" spans="1:6" x14ac:dyDescent="0.35">
      <c r="A25" s="14" t="s">
        <v>27</v>
      </c>
      <c r="B25" s="7">
        <v>3751500</v>
      </c>
    </row>
    <row r="26" spans="1:6" x14ac:dyDescent="0.35">
      <c r="A26" s="14" t="s">
        <v>54</v>
      </c>
      <c r="B26" s="7">
        <v>1041150</v>
      </c>
    </row>
    <row r="27" spans="1:6" x14ac:dyDescent="0.35">
      <c r="A27" s="14" t="s">
        <v>12</v>
      </c>
      <c r="B27" s="7">
        <v>474650</v>
      </c>
    </row>
    <row r="28" spans="1:6" x14ac:dyDescent="0.35">
      <c r="A28" s="14" t="s">
        <v>31</v>
      </c>
      <c r="B28" s="7">
        <v>1583375</v>
      </c>
    </row>
    <row r="29" spans="1:6" x14ac:dyDescent="0.35">
      <c r="A29" s="14" t="s">
        <v>42</v>
      </c>
      <c r="B29" s="7">
        <v>2702050</v>
      </c>
    </row>
    <row r="30" spans="1:6" x14ac:dyDescent="0.35">
      <c r="A30" s="14" t="s">
        <v>23</v>
      </c>
      <c r="B30" s="7">
        <v>1945250</v>
      </c>
    </row>
    <row r="31" spans="1:6" x14ac:dyDescent="0.35">
      <c r="A31" s="13" t="s">
        <v>24</v>
      </c>
      <c r="B31" s="7">
        <v>13704875</v>
      </c>
    </row>
    <row r="32" spans="1:6" x14ac:dyDescent="0.35">
      <c r="A32" s="14" t="s">
        <v>36</v>
      </c>
      <c r="B32" s="7">
        <v>2418725</v>
      </c>
    </row>
    <row r="33" spans="1:2" x14ac:dyDescent="0.35">
      <c r="A33" s="14" t="s">
        <v>17</v>
      </c>
      <c r="B33" s="7">
        <v>862550</v>
      </c>
    </row>
    <row r="34" spans="1:2" x14ac:dyDescent="0.35">
      <c r="A34" s="14" t="s">
        <v>27</v>
      </c>
      <c r="B34" s="7">
        <v>1257050</v>
      </c>
    </row>
    <row r="35" spans="1:2" x14ac:dyDescent="0.35">
      <c r="A35" s="14" t="s">
        <v>54</v>
      </c>
      <c r="B35" s="7">
        <v>729600</v>
      </c>
    </row>
    <row r="36" spans="1:2" x14ac:dyDescent="0.35">
      <c r="A36" s="14" t="s">
        <v>12</v>
      </c>
      <c r="B36" s="7">
        <v>1730000</v>
      </c>
    </row>
    <row r="37" spans="1:2" x14ac:dyDescent="0.35">
      <c r="A37" s="14" t="s">
        <v>31</v>
      </c>
      <c r="B37" s="7">
        <v>3208300</v>
      </c>
    </row>
    <row r="38" spans="1:2" x14ac:dyDescent="0.35">
      <c r="A38" s="14" t="s">
        <v>42</v>
      </c>
      <c r="B38" s="7">
        <v>3202100</v>
      </c>
    </row>
    <row r="39" spans="1:2" x14ac:dyDescent="0.35">
      <c r="A39" s="14" t="s">
        <v>23</v>
      </c>
      <c r="B39" s="7">
        <v>296550</v>
      </c>
    </row>
    <row r="40" spans="1:2" x14ac:dyDescent="0.35">
      <c r="A40" s="13" t="s">
        <v>39</v>
      </c>
      <c r="B40" s="7">
        <v>19777400</v>
      </c>
    </row>
    <row r="41" spans="1:2" x14ac:dyDescent="0.35">
      <c r="A41" s="14" t="s">
        <v>36</v>
      </c>
      <c r="B41" s="7">
        <v>954200</v>
      </c>
    </row>
    <row r="42" spans="1:2" x14ac:dyDescent="0.35">
      <c r="A42" s="14" t="s">
        <v>17</v>
      </c>
      <c r="B42" s="7">
        <v>3667625</v>
      </c>
    </row>
    <row r="43" spans="1:2" x14ac:dyDescent="0.35">
      <c r="A43" s="14" t="s">
        <v>27</v>
      </c>
      <c r="B43" s="7">
        <v>1476000</v>
      </c>
    </row>
    <row r="44" spans="1:2" x14ac:dyDescent="0.35">
      <c r="A44" s="14" t="s">
        <v>54</v>
      </c>
      <c r="B44" s="7">
        <v>4455700</v>
      </c>
    </row>
    <row r="45" spans="1:2" x14ac:dyDescent="0.35">
      <c r="A45" s="14" t="s">
        <v>12</v>
      </c>
      <c r="B45" s="7">
        <v>1329250</v>
      </c>
    </row>
    <row r="46" spans="1:2" x14ac:dyDescent="0.35">
      <c r="A46" s="14" t="s">
        <v>31</v>
      </c>
      <c r="B46" s="7">
        <v>2506750</v>
      </c>
    </row>
    <row r="47" spans="1:2" x14ac:dyDescent="0.35">
      <c r="A47" s="14" t="s">
        <v>42</v>
      </c>
      <c r="B47" s="7">
        <v>2098300</v>
      </c>
    </row>
    <row r="48" spans="1:2" x14ac:dyDescent="0.35">
      <c r="A48" s="14" t="s">
        <v>23</v>
      </c>
      <c r="B48" s="7">
        <v>3289575</v>
      </c>
    </row>
    <row r="49" spans="1:2" x14ac:dyDescent="0.35">
      <c r="A49" s="13" t="s">
        <v>19</v>
      </c>
      <c r="B49" s="7">
        <v>17526700</v>
      </c>
    </row>
    <row r="50" spans="1:2" x14ac:dyDescent="0.35">
      <c r="A50" s="14" t="s">
        <v>36</v>
      </c>
      <c r="B50" s="7">
        <v>2010525</v>
      </c>
    </row>
    <row r="51" spans="1:2" x14ac:dyDescent="0.35">
      <c r="A51" s="14" t="s">
        <v>17</v>
      </c>
      <c r="B51" s="7">
        <v>2359250</v>
      </c>
    </row>
    <row r="52" spans="1:2" x14ac:dyDescent="0.35">
      <c r="A52" s="14" t="s">
        <v>27</v>
      </c>
      <c r="B52" s="7">
        <v>3708825</v>
      </c>
    </row>
    <row r="53" spans="1:2" x14ac:dyDescent="0.35">
      <c r="A53" s="14" t="s">
        <v>54</v>
      </c>
      <c r="B53" s="7">
        <v>5058375</v>
      </c>
    </row>
    <row r="54" spans="1:2" x14ac:dyDescent="0.35">
      <c r="A54" s="14" t="s">
        <v>12</v>
      </c>
      <c r="B54" s="7">
        <v>958950</v>
      </c>
    </row>
    <row r="55" spans="1:2" x14ac:dyDescent="0.35">
      <c r="A55" s="14" t="s">
        <v>31</v>
      </c>
      <c r="B55" s="7">
        <v>1649750</v>
      </c>
    </row>
    <row r="56" spans="1:2" x14ac:dyDescent="0.35">
      <c r="A56" s="14" t="s">
        <v>42</v>
      </c>
      <c r="B56" s="7">
        <v>919550</v>
      </c>
    </row>
    <row r="57" spans="1:2" x14ac:dyDescent="0.35">
      <c r="A57" s="14" t="s">
        <v>23</v>
      </c>
      <c r="B57" s="7">
        <v>861475</v>
      </c>
    </row>
    <row r="58" spans="1:2" x14ac:dyDescent="0.35">
      <c r="A58" s="13" t="s">
        <v>1173</v>
      </c>
      <c r="B58" s="7">
        <v>94236675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8928-A0A3-4CBD-A6DA-DDAAD7F11892}">
  <dimension ref="A1:AC88"/>
  <sheetViews>
    <sheetView showGridLines="0" tabSelected="1" zoomScale="70" zoomScaleNormal="70" workbookViewId="0">
      <selection sqref="A1:P26"/>
    </sheetView>
  </sheetViews>
  <sheetFormatPr defaultRowHeight="14.5" x14ac:dyDescent="0.35"/>
  <sheetData>
    <row r="1" spans="1:29" x14ac:dyDescent="0.35">
      <c r="A1" s="17"/>
      <c r="B1" s="17"/>
      <c r="C1" s="17"/>
      <c r="D1" s="17"/>
      <c r="E1" s="17"/>
      <c r="F1" s="17"/>
      <c r="G1" s="17"/>
      <c r="H1" s="17"/>
      <c r="I1" s="17"/>
      <c r="J1" s="17"/>
      <c r="K1" s="17"/>
      <c r="L1" s="17"/>
      <c r="M1" s="17"/>
      <c r="N1" s="17"/>
      <c r="O1" s="17"/>
      <c r="P1" s="17"/>
      <c r="Q1" s="17"/>
      <c r="R1" s="17"/>
      <c r="S1" s="17"/>
      <c r="T1" s="17"/>
      <c r="U1" s="17"/>
      <c r="V1" s="17"/>
      <c r="W1" s="17"/>
      <c r="X1" s="17"/>
      <c r="Y1" s="17"/>
      <c r="Z1" s="16"/>
      <c r="AA1" s="16"/>
      <c r="AB1" s="16"/>
      <c r="AC1" s="16"/>
    </row>
    <row r="2" spans="1:29" x14ac:dyDescent="0.35">
      <c r="A2" s="17"/>
      <c r="B2" s="17"/>
      <c r="C2" s="17"/>
      <c r="D2" s="17"/>
      <c r="E2" s="17"/>
      <c r="F2" s="17"/>
      <c r="G2" s="17"/>
      <c r="H2" s="17"/>
      <c r="I2" s="17"/>
      <c r="J2" s="17"/>
      <c r="K2" s="17"/>
      <c r="L2" s="17"/>
      <c r="M2" s="17"/>
      <c r="N2" s="17"/>
      <c r="O2" s="17"/>
      <c r="P2" s="17"/>
      <c r="Q2" s="17"/>
      <c r="R2" s="17"/>
      <c r="S2" s="17"/>
      <c r="T2" s="17"/>
      <c r="U2" s="17"/>
      <c r="V2" s="17"/>
      <c r="W2" s="17"/>
      <c r="X2" s="17"/>
      <c r="Y2" s="17"/>
      <c r="Z2" s="16"/>
      <c r="AA2" s="16"/>
      <c r="AB2" s="16"/>
      <c r="AC2" s="16"/>
    </row>
    <row r="3" spans="1:29" x14ac:dyDescent="0.35">
      <c r="A3" s="17"/>
      <c r="B3" s="17"/>
      <c r="C3" s="17"/>
      <c r="D3" s="17"/>
      <c r="E3" s="17"/>
      <c r="F3" s="17"/>
      <c r="G3" s="17"/>
      <c r="H3" s="17"/>
      <c r="I3" s="17"/>
      <c r="J3" s="17"/>
      <c r="K3" s="17"/>
      <c r="L3" s="17"/>
      <c r="M3" s="17"/>
      <c r="N3" s="17"/>
      <c r="O3" s="17"/>
      <c r="P3" s="17"/>
      <c r="Q3" s="17"/>
      <c r="R3" s="17"/>
      <c r="S3" s="17"/>
      <c r="T3" s="17"/>
      <c r="U3" s="17"/>
      <c r="V3" s="17"/>
      <c r="W3" s="17"/>
      <c r="X3" s="17"/>
      <c r="Y3" s="17"/>
      <c r="Z3" s="16"/>
      <c r="AA3" s="16"/>
      <c r="AB3" s="16"/>
      <c r="AC3" s="16"/>
    </row>
    <row r="4" spans="1:29" x14ac:dyDescent="0.35">
      <c r="A4" s="17"/>
      <c r="B4" s="17"/>
      <c r="C4" s="17"/>
      <c r="D4" s="17"/>
      <c r="E4" s="17"/>
      <c r="F4" s="17"/>
      <c r="G4" s="17"/>
      <c r="H4" s="17"/>
      <c r="I4" s="17"/>
      <c r="J4" s="17"/>
      <c r="K4" s="17"/>
      <c r="L4" s="17"/>
      <c r="M4" s="17"/>
      <c r="N4" s="17"/>
      <c r="O4" s="17"/>
      <c r="P4" s="17"/>
      <c r="Q4" s="17"/>
      <c r="R4" s="17"/>
      <c r="S4" s="17"/>
      <c r="T4" s="17"/>
      <c r="U4" s="17"/>
      <c r="V4" s="17"/>
      <c r="W4" s="17"/>
      <c r="X4" s="17"/>
      <c r="Y4" s="17"/>
      <c r="Z4" s="16"/>
      <c r="AA4" s="16"/>
      <c r="AB4" s="16"/>
      <c r="AC4" s="16"/>
    </row>
    <row r="5" spans="1:29" x14ac:dyDescent="0.35">
      <c r="A5" s="17"/>
      <c r="B5" s="17"/>
      <c r="C5" s="17"/>
      <c r="D5" s="17"/>
      <c r="E5" s="17"/>
      <c r="F5" s="17"/>
      <c r="G5" s="17"/>
      <c r="H5" s="17"/>
      <c r="I5" s="17"/>
      <c r="J5" s="17"/>
      <c r="K5" s="17"/>
      <c r="L5" s="17"/>
      <c r="M5" s="17"/>
      <c r="N5" s="17"/>
      <c r="O5" s="17"/>
      <c r="P5" s="17"/>
      <c r="Q5" s="17"/>
      <c r="R5" s="17"/>
      <c r="S5" s="17"/>
      <c r="T5" s="17"/>
      <c r="U5" s="17"/>
      <c r="V5" s="17"/>
      <c r="W5" s="17"/>
      <c r="X5" s="17"/>
      <c r="Y5" s="17"/>
      <c r="Z5" s="16"/>
      <c r="AA5" s="16"/>
      <c r="AB5" s="16"/>
      <c r="AC5" s="16"/>
    </row>
    <row r="6" spans="1:29" x14ac:dyDescent="0.35">
      <c r="A6" s="17"/>
      <c r="B6" s="17"/>
      <c r="C6" s="17"/>
      <c r="D6" s="17"/>
      <c r="E6" s="17"/>
      <c r="F6" s="17"/>
      <c r="G6" s="17"/>
      <c r="H6" s="17"/>
      <c r="I6" s="17"/>
      <c r="J6" s="17"/>
      <c r="K6" s="17"/>
      <c r="L6" s="17"/>
      <c r="M6" s="17"/>
      <c r="N6" s="17"/>
      <c r="O6" s="17"/>
      <c r="P6" s="17"/>
      <c r="Q6" s="17"/>
      <c r="R6" s="17"/>
      <c r="S6" s="17"/>
      <c r="T6" s="17"/>
      <c r="U6" s="17"/>
      <c r="V6" s="17"/>
      <c r="W6" s="17"/>
      <c r="X6" s="17"/>
      <c r="Y6" s="17"/>
      <c r="Z6" s="16"/>
      <c r="AA6" s="16"/>
      <c r="AB6" s="16"/>
      <c r="AC6" s="16"/>
    </row>
    <row r="7" spans="1:29" x14ac:dyDescent="0.35">
      <c r="A7" s="17"/>
      <c r="B7" s="17"/>
      <c r="C7" s="17"/>
      <c r="D7" s="17"/>
      <c r="E7" s="17"/>
      <c r="F7" s="17"/>
      <c r="G7" s="17"/>
      <c r="H7" s="17"/>
      <c r="I7" s="17"/>
      <c r="J7" s="17"/>
      <c r="K7" s="17"/>
      <c r="L7" s="17"/>
      <c r="M7" s="17"/>
      <c r="N7" s="17"/>
      <c r="O7" s="17"/>
      <c r="P7" s="17"/>
      <c r="Q7" s="17"/>
      <c r="R7" s="17"/>
      <c r="S7" s="17"/>
      <c r="T7" s="17"/>
      <c r="U7" s="17"/>
      <c r="V7" s="17"/>
      <c r="W7" s="17"/>
      <c r="X7" s="17"/>
      <c r="Y7" s="17"/>
      <c r="Z7" s="16"/>
      <c r="AA7" s="16"/>
      <c r="AB7" s="16"/>
      <c r="AC7" s="16"/>
    </row>
    <row r="8" spans="1:29" x14ac:dyDescent="0.35">
      <c r="A8" s="17"/>
      <c r="B8" s="17"/>
      <c r="C8" s="17"/>
      <c r="D8" s="17"/>
      <c r="E8" s="17"/>
      <c r="F8" s="17"/>
      <c r="G8" s="17"/>
      <c r="H8" s="17"/>
      <c r="I8" s="17"/>
      <c r="J8" s="17"/>
      <c r="K8" s="17"/>
      <c r="L8" s="17"/>
      <c r="M8" s="17"/>
      <c r="N8" s="17"/>
      <c r="O8" s="17"/>
      <c r="P8" s="17"/>
      <c r="Q8" s="17"/>
      <c r="R8" s="17"/>
      <c r="S8" s="17"/>
      <c r="T8" s="17"/>
      <c r="U8" s="17"/>
      <c r="V8" s="17"/>
      <c r="W8" s="17"/>
      <c r="X8" s="17"/>
      <c r="Y8" s="17"/>
      <c r="Z8" s="16"/>
      <c r="AA8" s="16"/>
      <c r="AB8" s="16"/>
      <c r="AC8" s="16"/>
    </row>
    <row r="9" spans="1:29" x14ac:dyDescent="0.35">
      <c r="A9" s="17"/>
      <c r="B9" s="17"/>
      <c r="C9" s="17"/>
      <c r="D9" s="17"/>
      <c r="E9" s="17"/>
      <c r="F9" s="17"/>
      <c r="G9" s="17"/>
      <c r="H9" s="17"/>
      <c r="I9" s="17"/>
      <c r="J9" s="17"/>
      <c r="K9" s="17"/>
      <c r="L9" s="17"/>
      <c r="M9" s="17"/>
      <c r="N9" s="17"/>
      <c r="O9" s="17"/>
      <c r="P9" s="17"/>
      <c r="Q9" s="17"/>
      <c r="R9" s="17"/>
      <c r="S9" s="17"/>
      <c r="T9" s="17"/>
      <c r="U9" s="17"/>
      <c r="V9" s="17"/>
      <c r="W9" s="17"/>
      <c r="X9" s="17"/>
      <c r="Y9" s="17"/>
      <c r="Z9" s="16"/>
      <c r="AA9" s="16"/>
      <c r="AB9" s="16"/>
      <c r="AC9" s="16"/>
    </row>
    <row r="10" spans="1:29"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6"/>
      <c r="AA10" s="16"/>
      <c r="AB10" s="16"/>
      <c r="AC10" s="16"/>
    </row>
    <row r="11" spans="1:29"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6"/>
      <c r="AA11" s="16"/>
      <c r="AB11" s="16"/>
      <c r="AC11" s="16"/>
    </row>
    <row r="12" spans="1:29"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6"/>
      <c r="AA12" s="16"/>
      <c r="AB12" s="16"/>
      <c r="AC12" s="16"/>
    </row>
    <row r="13" spans="1:29"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6"/>
      <c r="AA13" s="16"/>
      <c r="AB13" s="16"/>
      <c r="AC13" s="16"/>
    </row>
    <row r="14" spans="1:29"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6"/>
      <c r="AA14" s="16"/>
      <c r="AB14" s="16"/>
      <c r="AC14" s="16"/>
    </row>
    <row r="15" spans="1:29"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6"/>
      <c r="AA15" s="16"/>
      <c r="AB15" s="16"/>
      <c r="AC15" s="16"/>
    </row>
    <row r="16" spans="1:29"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6"/>
      <c r="AA16" s="16"/>
      <c r="AB16" s="16"/>
      <c r="AC16" s="16"/>
    </row>
    <row r="17" spans="1:29"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6"/>
      <c r="AA17" s="16"/>
      <c r="AB17" s="16"/>
      <c r="AC17" s="16"/>
    </row>
    <row r="18" spans="1:29"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6"/>
      <c r="AA18" s="16"/>
      <c r="AB18" s="16"/>
      <c r="AC18" s="16"/>
    </row>
    <row r="19" spans="1:29"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6"/>
      <c r="AA19" s="16"/>
      <c r="AB19" s="16"/>
      <c r="AC19" s="16"/>
    </row>
    <row r="20" spans="1:29"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6"/>
      <c r="AA20" s="16"/>
      <c r="AB20" s="16"/>
      <c r="AC20" s="16"/>
    </row>
    <row r="21" spans="1:29"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9"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9"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9"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9"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9"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9"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9"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9"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9" x14ac:dyDescent="0.35">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9" x14ac:dyDescent="0.35">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9" x14ac:dyDescent="0.35">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x14ac:dyDescent="0.35">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spans="1:25"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spans="1:25"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spans="1:25"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spans="1:25"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spans="1:25"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spans="1:25"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spans="1:25" x14ac:dyDescent="0.35">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spans="1:25" x14ac:dyDescent="0.35">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spans="1:25" x14ac:dyDescent="0.35">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spans="1:25" x14ac:dyDescent="0.3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spans="1:25" x14ac:dyDescent="0.35">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spans="1:25" x14ac:dyDescent="0.35">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spans="1:25" x14ac:dyDescent="0.35">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spans="1:25" x14ac:dyDescent="0.35">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spans="1:25" x14ac:dyDescent="0.35">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spans="1:25" x14ac:dyDescent="0.35">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spans="1:25" x14ac:dyDescent="0.35">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spans="1:25" x14ac:dyDescent="0.35">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spans="1:25" x14ac:dyDescent="0.35">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spans="1:25" x14ac:dyDescent="0.3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spans="1:25" x14ac:dyDescent="0.35">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spans="1:25" x14ac:dyDescent="0.35">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spans="1:25" x14ac:dyDescent="0.35">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spans="1:25" x14ac:dyDescent="0.35">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spans="1:25" x14ac:dyDescent="0.35">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spans="1:25" x14ac:dyDescent="0.35">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spans="1:25" x14ac:dyDescent="0.35">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spans="1:25" x14ac:dyDescent="0.35">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spans="1:25" x14ac:dyDescent="0.35">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spans="1:25" x14ac:dyDescent="0.3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spans="1:25" x14ac:dyDescent="0.35">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spans="1:25" x14ac:dyDescent="0.35">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spans="1:25" x14ac:dyDescent="0.35">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spans="1:25" x14ac:dyDescent="0.35">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spans="1:25" x14ac:dyDescent="0.35">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spans="1:25" x14ac:dyDescent="0.35">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spans="1:25" x14ac:dyDescent="0.35">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spans="1:25" x14ac:dyDescent="0.35">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spans="1:25" x14ac:dyDescent="0.35">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spans="1:25" x14ac:dyDescent="0.3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spans="1:25" x14ac:dyDescent="0.35">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spans="1:25"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spans="1:25" x14ac:dyDescent="0.35">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spans="1:25" x14ac:dyDescent="0.35">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spans="1:25" x14ac:dyDescent="0.35">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spans="1:25" x14ac:dyDescent="0.35">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spans="1:25" x14ac:dyDescent="0.35">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spans="1:25" x14ac:dyDescent="0.35">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spans="1:25" x14ac:dyDescent="0.35">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spans="1:25" x14ac:dyDescent="0.3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spans="1:25" x14ac:dyDescent="0.35">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spans="1:25" x14ac:dyDescent="0.35">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spans="1:25" x14ac:dyDescent="0.35">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opLeftCell="D1" zoomScale="90" zoomScaleNormal="90" workbookViewId="0">
      <selection activeCell="N1" sqref="N1:N1048576"/>
    </sheetView>
  </sheetViews>
  <sheetFormatPr defaultRowHeight="14.5" x14ac:dyDescent="0.35"/>
  <cols>
    <col min="1" max="1" width="12.08984375" bestFit="1" customWidth="1"/>
    <col min="2" max="2" width="10.453125" style="5" bestFit="1" customWidth="1"/>
    <col min="3" max="4" width="17.81640625" customWidth="1"/>
    <col min="5" max="5" width="12" bestFit="1" customWidth="1"/>
    <col min="6" max="6" width="12.81640625" bestFit="1" customWidth="1"/>
    <col min="7" max="7" width="11" bestFit="1" customWidth="1"/>
    <col min="8" max="8" width="15.36328125" bestFit="1" customWidth="1"/>
    <col min="9" max="9" width="12.7265625" bestFit="1" customWidth="1"/>
    <col min="10" max="10" width="13" bestFit="1" customWidth="1"/>
    <col min="11" max="11" width="14.1796875" bestFit="1" customWidth="1"/>
    <col min="12" max="12" width="13.7265625" bestFit="1" customWidth="1"/>
    <col min="13" max="13" width="13.36328125" style="7" bestFit="1" customWidth="1"/>
    <col min="14" max="14" width="16.26953125" style="19" bestFit="1" customWidth="1"/>
    <col min="15" max="15" width="20.453125" bestFit="1" customWidth="1"/>
  </cols>
  <sheetData>
    <row r="1" spans="1:17" x14ac:dyDescent="0.35">
      <c r="A1" s="1" t="s">
        <v>0</v>
      </c>
      <c r="B1" s="4" t="s">
        <v>1</v>
      </c>
      <c r="C1" s="1" t="s">
        <v>1164</v>
      </c>
      <c r="D1" s="1" t="s">
        <v>1165</v>
      </c>
      <c r="E1" s="1" t="s">
        <v>2</v>
      </c>
      <c r="F1" s="1" t="s">
        <v>3</v>
      </c>
      <c r="G1" s="1" t="s">
        <v>4</v>
      </c>
      <c r="H1" s="1" t="s">
        <v>5</v>
      </c>
      <c r="I1" s="1" t="s">
        <v>6</v>
      </c>
      <c r="J1" s="1" t="s">
        <v>7</v>
      </c>
      <c r="K1" s="1" t="s">
        <v>8</v>
      </c>
      <c r="L1" s="1" t="s">
        <v>9</v>
      </c>
      <c r="M1" s="15" t="s">
        <v>10</v>
      </c>
      <c r="N1" s="18" t="s">
        <v>1168</v>
      </c>
      <c r="O1" s="3" t="s">
        <v>1163</v>
      </c>
      <c r="P1" s="3" t="s">
        <v>1167</v>
      </c>
      <c r="Q1" s="3"/>
    </row>
    <row r="2" spans="1:17" x14ac:dyDescent="0.35">
      <c r="A2" t="s">
        <v>11</v>
      </c>
      <c r="B2" s="5">
        <v>45292</v>
      </c>
      <c r="C2" s="2" t="str">
        <f>TEXT(B2,"MMMM")</f>
        <v>January</v>
      </c>
      <c r="D2" s="2" t="str">
        <f>TEXT(B2,"yyy")</f>
        <v>2024</v>
      </c>
      <c r="E2" t="s">
        <v>12</v>
      </c>
      <c r="F2" t="s">
        <v>13</v>
      </c>
      <c r="G2" t="s">
        <v>14</v>
      </c>
      <c r="H2" t="s">
        <v>15</v>
      </c>
      <c r="I2">
        <v>9</v>
      </c>
      <c r="J2">
        <v>1500</v>
      </c>
      <c r="K2">
        <v>10</v>
      </c>
      <c r="L2">
        <v>13500</v>
      </c>
      <c r="M2" s="7">
        <v>12150</v>
      </c>
      <c r="N2" s="19">
        <f>(M2-P2)*I2</f>
        <v>-205650</v>
      </c>
      <c r="O2" t="str">
        <f>IF(K2=15%,"Very High ",IF(K2=10%,"High Discount","Normal"))</f>
        <v>Normal</v>
      </c>
      <c r="P2">
        <f>_xlfn.XLOOKUP(E2,Products_Master!B:B,Products_Master!D:D)</f>
        <v>35000</v>
      </c>
    </row>
    <row r="3" spans="1:17" x14ac:dyDescent="0.35">
      <c r="A3" t="s">
        <v>16</v>
      </c>
      <c r="B3" s="5">
        <v>45292</v>
      </c>
      <c r="C3" s="2" t="str">
        <f t="shared" ref="C3:C66" si="0">TEXT(B3,"MMMM")</f>
        <v>January</v>
      </c>
      <c r="D3" s="2" t="str">
        <f t="shared" ref="D3:D66" si="1">TEXT(B3,"yyy")</f>
        <v>2024</v>
      </c>
      <c r="E3" t="s">
        <v>17</v>
      </c>
      <c r="F3" t="s">
        <v>18</v>
      </c>
      <c r="G3" t="s">
        <v>19</v>
      </c>
      <c r="H3" t="s">
        <v>15</v>
      </c>
      <c r="I3">
        <v>3</v>
      </c>
      <c r="J3">
        <v>45000</v>
      </c>
      <c r="K3">
        <v>10</v>
      </c>
      <c r="L3">
        <v>135000</v>
      </c>
      <c r="M3" s="7">
        <v>121500</v>
      </c>
      <c r="N3" s="19">
        <f t="shared" ref="N3:N66" si="2">(M3-P3)*I3</f>
        <v>358500</v>
      </c>
      <c r="O3" t="str">
        <f t="shared" ref="O3:O66" si="3">IF(K3=15%,"Very High ",IF(K3=10%,"High Discount","Normal"))</f>
        <v>Normal</v>
      </c>
      <c r="P3">
        <f>_xlfn.XLOOKUP(E3,Products_Master!B:B,Products_Master!D:D)</f>
        <v>2000</v>
      </c>
    </row>
    <row r="4" spans="1:17" x14ac:dyDescent="0.35">
      <c r="A4" t="s">
        <v>20</v>
      </c>
      <c r="B4" s="5">
        <v>45293</v>
      </c>
      <c r="C4" s="2" t="str">
        <f t="shared" si="0"/>
        <v>January</v>
      </c>
      <c r="D4" s="2" t="str">
        <f t="shared" si="1"/>
        <v>2024</v>
      </c>
      <c r="E4" t="s">
        <v>17</v>
      </c>
      <c r="F4" t="s">
        <v>13</v>
      </c>
      <c r="G4" t="s">
        <v>21</v>
      </c>
      <c r="H4" t="s">
        <v>15</v>
      </c>
      <c r="I4">
        <v>5</v>
      </c>
      <c r="J4">
        <v>15000</v>
      </c>
      <c r="K4">
        <v>0</v>
      </c>
      <c r="L4">
        <v>75000</v>
      </c>
      <c r="M4" s="7">
        <v>75000</v>
      </c>
      <c r="N4" s="19">
        <f t="shared" si="2"/>
        <v>365000</v>
      </c>
      <c r="O4" t="str">
        <f t="shared" si="3"/>
        <v>Normal</v>
      </c>
      <c r="P4">
        <f>_xlfn.XLOOKUP(E4,Products_Master!B:B,Products_Master!D:D)</f>
        <v>2000</v>
      </c>
    </row>
    <row r="5" spans="1:17" x14ac:dyDescent="0.35">
      <c r="A5" t="s">
        <v>22</v>
      </c>
      <c r="B5" s="5">
        <v>45294</v>
      </c>
      <c r="C5" s="2" t="str">
        <f t="shared" si="0"/>
        <v>January</v>
      </c>
      <c r="D5" s="2" t="str">
        <f t="shared" si="1"/>
        <v>2024</v>
      </c>
      <c r="E5" t="s">
        <v>23</v>
      </c>
      <c r="F5" t="s">
        <v>13</v>
      </c>
      <c r="G5" t="s">
        <v>24</v>
      </c>
      <c r="H5" t="s">
        <v>25</v>
      </c>
      <c r="I5">
        <v>3</v>
      </c>
      <c r="J5">
        <v>1500</v>
      </c>
      <c r="K5">
        <v>0</v>
      </c>
      <c r="L5">
        <v>4500</v>
      </c>
      <c r="M5" s="7">
        <v>4500</v>
      </c>
      <c r="N5" s="19">
        <f t="shared" si="2"/>
        <v>-40500</v>
      </c>
      <c r="O5" t="str">
        <f t="shared" si="3"/>
        <v>Normal</v>
      </c>
      <c r="P5">
        <f>_xlfn.XLOOKUP(E5,Products_Master!B:B,Products_Master!D:D)</f>
        <v>18000</v>
      </c>
    </row>
    <row r="6" spans="1:17" x14ac:dyDescent="0.35">
      <c r="A6" t="s">
        <v>26</v>
      </c>
      <c r="B6" s="5">
        <v>45295</v>
      </c>
      <c r="C6" s="2" t="str">
        <f t="shared" si="0"/>
        <v>January</v>
      </c>
      <c r="D6" s="2" t="str">
        <f t="shared" si="1"/>
        <v>2024</v>
      </c>
      <c r="E6" t="s">
        <v>27</v>
      </c>
      <c r="F6" t="s">
        <v>18</v>
      </c>
      <c r="G6" t="s">
        <v>19</v>
      </c>
      <c r="H6" t="s">
        <v>15</v>
      </c>
      <c r="I6">
        <v>5</v>
      </c>
      <c r="J6">
        <v>15000</v>
      </c>
      <c r="K6">
        <v>0</v>
      </c>
      <c r="L6">
        <v>75000</v>
      </c>
      <c r="M6" s="7">
        <v>75000</v>
      </c>
      <c r="N6" s="19">
        <f t="shared" si="2"/>
        <v>370500</v>
      </c>
      <c r="O6" t="str">
        <f t="shared" si="3"/>
        <v>Normal</v>
      </c>
      <c r="P6">
        <f>_xlfn.XLOOKUP(E6,Products_Master!B:B,Products_Master!D:D)</f>
        <v>900</v>
      </c>
    </row>
    <row r="7" spans="1:17" x14ac:dyDescent="0.35">
      <c r="A7" t="s">
        <v>28</v>
      </c>
      <c r="B7" s="5">
        <v>45295</v>
      </c>
      <c r="C7" s="2" t="str">
        <f t="shared" si="0"/>
        <v>January</v>
      </c>
      <c r="D7" s="2" t="str">
        <f t="shared" si="1"/>
        <v>2024</v>
      </c>
      <c r="E7" t="s">
        <v>12</v>
      </c>
      <c r="F7" t="s">
        <v>18</v>
      </c>
      <c r="G7" t="s">
        <v>19</v>
      </c>
      <c r="H7" t="s">
        <v>29</v>
      </c>
      <c r="I7">
        <v>9</v>
      </c>
      <c r="J7">
        <v>8000</v>
      </c>
      <c r="K7">
        <v>10</v>
      </c>
      <c r="L7">
        <v>72000</v>
      </c>
      <c r="M7" s="7">
        <v>64800</v>
      </c>
      <c r="N7" s="19">
        <f t="shared" si="2"/>
        <v>268200</v>
      </c>
      <c r="O7" t="str">
        <f t="shared" si="3"/>
        <v>Normal</v>
      </c>
      <c r="P7">
        <f>_xlfn.XLOOKUP(E7,Products_Master!B:B,Products_Master!D:D)</f>
        <v>35000</v>
      </c>
    </row>
    <row r="8" spans="1:17" x14ac:dyDescent="0.35">
      <c r="A8" t="s">
        <v>30</v>
      </c>
      <c r="B8" s="5">
        <v>45297</v>
      </c>
      <c r="C8" s="2" t="str">
        <f t="shared" si="0"/>
        <v>January</v>
      </c>
      <c r="D8" s="2" t="str">
        <f t="shared" si="1"/>
        <v>2024</v>
      </c>
      <c r="E8" t="s">
        <v>31</v>
      </c>
      <c r="F8" t="s">
        <v>13</v>
      </c>
      <c r="G8" t="s">
        <v>19</v>
      </c>
      <c r="H8" t="s">
        <v>32</v>
      </c>
      <c r="I8">
        <v>7</v>
      </c>
      <c r="J8">
        <v>8000</v>
      </c>
      <c r="K8">
        <v>0</v>
      </c>
      <c r="L8">
        <v>56000</v>
      </c>
      <c r="M8" s="7">
        <v>56000</v>
      </c>
      <c r="N8" s="19">
        <f t="shared" si="2"/>
        <v>287000</v>
      </c>
      <c r="O8" t="str">
        <f t="shared" si="3"/>
        <v>Normal</v>
      </c>
      <c r="P8">
        <f>_xlfn.XLOOKUP(E8,Products_Master!B:B,Products_Master!D:D)</f>
        <v>15000</v>
      </c>
    </row>
    <row r="9" spans="1:17" x14ac:dyDescent="0.35">
      <c r="A9" t="s">
        <v>33</v>
      </c>
      <c r="B9" s="5">
        <v>45298</v>
      </c>
      <c r="C9" s="2" t="str">
        <f t="shared" si="0"/>
        <v>January</v>
      </c>
      <c r="D9" s="2" t="str">
        <f t="shared" si="1"/>
        <v>2024</v>
      </c>
      <c r="E9" t="s">
        <v>23</v>
      </c>
      <c r="F9" t="s">
        <v>13</v>
      </c>
      <c r="G9" t="s">
        <v>21</v>
      </c>
      <c r="H9" t="s">
        <v>34</v>
      </c>
      <c r="I9">
        <v>9</v>
      </c>
      <c r="J9">
        <v>1500</v>
      </c>
      <c r="K9">
        <v>15</v>
      </c>
      <c r="L9">
        <v>13500</v>
      </c>
      <c r="M9" s="7">
        <v>11475</v>
      </c>
      <c r="N9" s="19">
        <f t="shared" si="2"/>
        <v>-58725</v>
      </c>
      <c r="O9" t="str">
        <f t="shared" si="3"/>
        <v>Normal</v>
      </c>
      <c r="P9">
        <f>_xlfn.XLOOKUP(E9,Products_Master!B:B,Products_Master!D:D)</f>
        <v>18000</v>
      </c>
    </row>
    <row r="10" spans="1:17" x14ac:dyDescent="0.35">
      <c r="A10" t="s">
        <v>35</v>
      </c>
      <c r="B10" s="5">
        <v>45298</v>
      </c>
      <c r="C10" s="2" t="str">
        <f t="shared" si="0"/>
        <v>January</v>
      </c>
      <c r="D10" s="2" t="str">
        <f t="shared" si="1"/>
        <v>2024</v>
      </c>
      <c r="E10" t="s">
        <v>36</v>
      </c>
      <c r="F10" t="s">
        <v>13</v>
      </c>
      <c r="G10" t="s">
        <v>37</v>
      </c>
      <c r="H10" t="s">
        <v>34</v>
      </c>
      <c r="I10">
        <v>2</v>
      </c>
      <c r="J10">
        <v>2500</v>
      </c>
      <c r="K10">
        <v>5</v>
      </c>
      <c r="L10">
        <v>5000</v>
      </c>
      <c r="M10" s="7">
        <v>4750</v>
      </c>
      <c r="N10" s="19">
        <f t="shared" si="2"/>
        <v>7900</v>
      </c>
      <c r="O10" t="str">
        <f t="shared" si="3"/>
        <v>Normal</v>
      </c>
      <c r="P10">
        <f>_xlfn.XLOOKUP(E10,Products_Master!B:B,Products_Master!D:D)</f>
        <v>800</v>
      </c>
    </row>
    <row r="11" spans="1:17" x14ac:dyDescent="0.35">
      <c r="A11" t="s">
        <v>38</v>
      </c>
      <c r="B11" s="5">
        <v>45299</v>
      </c>
      <c r="C11" s="2" t="str">
        <f t="shared" si="0"/>
        <v>January</v>
      </c>
      <c r="D11" s="2" t="str">
        <f t="shared" si="1"/>
        <v>2024</v>
      </c>
      <c r="E11" t="s">
        <v>17</v>
      </c>
      <c r="F11" t="s">
        <v>18</v>
      </c>
      <c r="G11" t="s">
        <v>39</v>
      </c>
      <c r="H11" t="s">
        <v>40</v>
      </c>
      <c r="I11">
        <v>9</v>
      </c>
      <c r="J11">
        <v>120000</v>
      </c>
      <c r="K11">
        <v>0</v>
      </c>
      <c r="L11">
        <v>1080000</v>
      </c>
      <c r="M11" s="7">
        <v>1080000</v>
      </c>
      <c r="N11" s="19">
        <f t="shared" si="2"/>
        <v>9702000</v>
      </c>
      <c r="O11" t="str">
        <f t="shared" si="3"/>
        <v>Normal</v>
      </c>
      <c r="P11">
        <f>_xlfn.XLOOKUP(E11,Products_Master!B:B,Products_Master!D:D)</f>
        <v>2000</v>
      </c>
    </row>
    <row r="12" spans="1:17" x14ac:dyDescent="0.35">
      <c r="A12" t="s">
        <v>41</v>
      </c>
      <c r="B12" s="5">
        <v>45300</v>
      </c>
      <c r="C12" s="2" t="str">
        <f t="shared" si="0"/>
        <v>January</v>
      </c>
      <c r="D12" s="2" t="str">
        <f t="shared" si="1"/>
        <v>2024</v>
      </c>
      <c r="E12" t="s">
        <v>42</v>
      </c>
      <c r="F12" t="s">
        <v>18</v>
      </c>
      <c r="G12" t="s">
        <v>37</v>
      </c>
      <c r="H12" t="s">
        <v>29</v>
      </c>
      <c r="I12">
        <v>6</v>
      </c>
      <c r="J12">
        <v>15000</v>
      </c>
      <c r="K12">
        <v>10</v>
      </c>
      <c r="L12">
        <v>90000</v>
      </c>
      <c r="M12" s="7">
        <v>81000</v>
      </c>
      <c r="N12" s="19">
        <f t="shared" si="2"/>
        <v>482400</v>
      </c>
      <c r="O12" t="str">
        <f t="shared" si="3"/>
        <v>Normal</v>
      </c>
      <c r="P12">
        <f>_xlfn.XLOOKUP(E12,Products_Master!B:B,Products_Master!D:D)</f>
        <v>600</v>
      </c>
    </row>
    <row r="13" spans="1:17" x14ac:dyDescent="0.35">
      <c r="A13" t="s">
        <v>43</v>
      </c>
      <c r="B13" s="5">
        <v>45301</v>
      </c>
      <c r="C13" s="2" t="str">
        <f t="shared" si="0"/>
        <v>January</v>
      </c>
      <c r="D13" s="2" t="str">
        <f t="shared" si="1"/>
        <v>2024</v>
      </c>
      <c r="E13" t="s">
        <v>17</v>
      </c>
      <c r="F13" t="s">
        <v>13</v>
      </c>
      <c r="G13" t="s">
        <v>39</v>
      </c>
      <c r="H13" t="s">
        <v>15</v>
      </c>
      <c r="I13">
        <v>6</v>
      </c>
      <c r="J13">
        <v>120000</v>
      </c>
      <c r="K13">
        <v>5</v>
      </c>
      <c r="L13">
        <v>720000</v>
      </c>
      <c r="M13" s="7">
        <v>684000</v>
      </c>
      <c r="N13" s="19">
        <f t="shared" si="2"/>
        <v>4092000</v>
      </c>
      <c r="O13" t="str">
        <f t="shared" si="3"/>
        <v>Normal</v>
      </c>
      <c r="P13">
        <f>_xlfn.XLOOKUP(E13,Products_Master!B:B,Products_Master!D:D)</f>
        <v>2000</v>
      </c>
    </row>
    <row r="14" spans="1:17" x14ac:dyDescent="0.35">
      <c r="A14" t="s">
        <v>44</v>
      </c>
      <c r="B14" s="5">
        <v>45301</v>
      </c>
      <c r="C14" s="2" t="str">
        <f t="shared" si="0"/>
        <v>January</v>
      </c>
      <c r="D14" s="2" t="str">
        <f t="shared" si="1"/>
        <v>2024</v>
      </c>
      <c r="E14" t="s">
        <v>27</v>
      </c>
      <c r="F14" t="s">
        <v>13</v>
      </c>
      <c r="G14" t="s">
        <v>19</v>
      </c>
      <c r="H14" t="s">
        <v>15</v>
      </c>
      <c r="I14">
        <v>6</v>
      </c>
      <c r="J14">
        <v>85000</v>
      </c>
      <c r="K14">
        <v>5</v>
      </c>
      <c r="L14">
        <v>510000</v>
      </c>
      <c r="M14" s="7">
        <v>484500</v>
      </c>
      <c r="N14" s="19">
        <f t="shared" si="2"/>
        <v>2901600</v>
      </c>
      <c r="O14" t="str">
        <f t="shared" si="3"/>
        <v>Normal</v>
      </c>
      <c r="P14">
        <f>_xlfn.XLOOKUP(E14,Products_Master!B:B,Products_Master!D:D)</f>
        <v>900</v>
      </c>
    </row>
    <row r="15" spans="1:17" x14ac:dyDescent="0.35">
      <c r="A15" t="s">
        <v>45</v>
      </c>
      <c r="B15" s="5">
        <v>45303</v>
      </c>
      <c r="C15" s="2" t="str">
        <f t="shared" si="0"/>
        <v>January</v>
      </c>
      <c r="D15" s="2" t="str">
        <f t="shared" si="1"/>
        <v>2024</v>
      </c>
      <c r="E15" t="s">
        <v>12</v>
      </c>
      <c r="F15" t="s">
        <v>13</v>
      </c>
      <c r="G15" t="s">
        <v>19</v>
      </c>
      <c r="H15" t="s">
        <v>34</v>
      </c>
      <c r="I15">
        <v>7</v>
      </c>
      <c r="J15">
        <v>120000</v>
      </c>
      <c r="K15">
        <v>0</v>
      </c>
      <c r="L15">
        <v>840000</v>
      </c>
      <c r="M15" s="7">
        <v>840000</v>
      </c>
      <c r="N15" s="19">
        <f t="shared" si="2"/>
        <v>5635000</v>
      </c>
      <c r="O15" t="str">
        <f t="shared" si="3"/>
        <v>Normal</v>
      </c>
      <c r="P15">
        <f>_xlfn.XLOOKUP(E15,Products_Master!B:B,Products_Master!D:D)</f>
        <v>35000</v>
      </c>
    </row>
    <row r="16" spans="1:17" x14ac:dyDescent="0.35">
      <c r="A16" t="s">
        <v>46</v>
      </c>
      <c r="B16" s="5">
        <v>45307</v>
      </c>
      <c r="C16" s="2" t="str">
        <f t="shared" si="0"/>
        <v>January</v>
      </c>
      <c r="D16" s="2" t="str">
        <f t="shared" si="1"/>
        <v>2024</v>
      </c>
      <c r="E16" t="s">
        <v>36</v>
      </c>
      <c r="F16" t="s">
        <v>18</v>
      </c>
      <c r="G16" t="s">
        <v>21</v>
      </c>
      <c r="H16" t="s">
        <v>25</v>
      </c>
      <c r="I16">
        <v>7</v>
      </c>
      <c r="J16">
        <v>1500</v>
      </c>
      <c r="K16">
        <v>0</v>
      </c>
      <c r="L16">
        <v>10500</v>
      </c>
      <c r="M16" s="7">
        <v>10500</v>
      </c>
      <c r="N16" s="19">
        <f t="shared" si="2"/>
        <v>67900</v>
      </c>
      <c r="O16" t="str">
        <f t="shared" si="3"/>
        <v>Normal</v>
      </c>
      <c r="P16">
        <f>_xlfn.XLOOKUP(E16,Products_Master!B:B,Products_Master!D:D)</f>
        <v>800</v>
      </c>
    </row>
    <row r="17" spans="1:16" x14ac:dyDescent="0.35">
      <c r="A17" t="s">
        <v>47</v>
      </c>
      <c r="B17" s="5">
        <v>45311</v>
      </c>
      <c r="C17" s="2" t="str">
        <f t="shared" si="0"/>
        <v>January</v>
      </c>
      <c r="D17" s="2" t="str">
        <f t="shared" si="1"/>
        <v>2024</v>
      </c>
      <c r="E17" t="s">
        <v>17</v>
      </c>
      <c r="F17" t="s">
        <v>13</v>
      </c>
      <c r="G17" t="s">
        <v>19</v>
      </c>
      <c r="H17" t="s">
        <v>15</v>
      </c>
      <c r="I17">
        <v>8</v>
      </c>
      <c r="J17">
        <v>15000</v>
      </c>
      <c r="K17">
        <v>0</v>
      </c>
      <c r="L17">
        <v>120000</v>
      </c>
      <c r="M17" s="7">
        <v>120000</v>
      </c>
      <c r="N17" s="19">
        <f t="shared" si="2"/>
        <v>944000</v>
      </c>
      <c r="O17" t="str">
        <f t="shared" si="3"/>
        <v>Normal</v>
      </c>
      <c r="P17">
        <f>_xlfn.XLOOKUP(E17,Products_Master!B:B,Products_Master!D:D)</f>
        <v>2000</v>
      </c>
    </row>
    <row r="18" spans="1:16" x14ac:dyDescent="0.35">
      <c r="A18" t="s">
        <v>48</v>
      </c>
      <c r="B18" s="5">
        <v>45312</v>
      </c>
      <c r="C18" s="2" t="str">
        <f t="shared" si="0"/>
        <v>January</v>
      </c>
      <c r="D18" s="2" t="str">
        <f t="shared" si="1"/>
        <v>2024</v>
      </c>
      <c r="E18" t="s">
        <v>42</v>
      </c>
      <c r="F18" t="s">
        <v>18</v>
      </c>
      <c r="G18" t="s">
        <v>14</v>
      </c>
      <c r="H18" t="s">
        <v>49</v>
      </c>
      <c r="I18">
        <v>3</v>
      </c>
      <c r="J18">
        <v>85000</v>
      </c>
      <c r="K18">
        <v>5</v>
      </c>
      <c r="L18">
        <v>255000</v>
      </c>
      <c r="M18" s="7">
        <v>242250</v>
      </c>
      <c r="N18" s="19">
        <f t="shared" si="2"/>
        <v>724950</v>
      </c>
      <c r="O18" t="str">
        <f t="shared" si="3"/>
        <v>Normal</v>
      </c>
      <c r="P18">
        <f>_xlfn.XLOOKUP(E18,Products_Master!B:B,Products_Master!D:D)</f>
        <v>600</v>
      </c>
    </row>
    <row r="19" spans="1:16" x14ac:dyDescent="0.35">
      <c r="A19" t="s">
        <v>50</v>
      </c>
      <c r="B19" s="5">
        <v>45313</v>
      </c>
      <c r="C19" s="2" t="str">
        <f t="shared" si="0"/>
        <v>January</v>
      </c>
      <c r="D19" s="2" t="str">
        <f t="shared" si="1"/>
        <v>2024</v>
      </c>
      <c r="E19" t="s">
        <v>27</v>
      </c>
      <c r="F19" t="s">
        <v>18</v>
      </c>
      <c r="G19" t="s">
        <v>39</v>
      </c>
      <c r="H19" t="s">
        <v>34</v>
      </c>
      <c r="I19">
        <v>2</v>
      </c>
      <c r="J19">
        <v>2500</v>
      </c>
      <c r="K19">
        <v>0</v>
      </c>
      <c r="L19">
        <v>5000</v>
      </c>
      <c r="M19" s="7">
        <v>5000</v>
      </c>
      <c r="N19" s="19">
        <f t="shared" si="2"/>
        <v>8200</v>
      </c>
      <c r="O19" t="str">
        <f t="shared" si="3"/>
        <v>Normal</v>
      </c>
      <c r="P19">
        <f>_xlfn.XLOOKUP(E19,Products_Master!B:B,Products_Master!D:D)</f>
        <v>900</v>
      </c>
    </row>
    <row r="20" spans="1:16" x14ac:dyDescent="0.35">
      <c r="A20" t="s">
        <v>51</v>
      </c>
      <c r="B20" s="5">
        <v>45316</v>
      </c>
      <c r="C20" s="2" t="str">
        <f t="shared" si="0"/>
        <v>January</v>
      </c>
      <c r="D20" s="2" t="str">
        <f t="shared" si="1"/>
        <v>2024</v>
      </c>
      <c r="E20" t="s">
        <v>31</v>
      </c>
      <c r="F20" t="s">
        <v>13</v>
      </c>
      <c r="G20" t="s">
        <v>19</v>
      </c>
      <c r="H20" t="s">
        <v>34</v>
      </c>
      <c r="I20">
        <v>4</v>
      </c>
      <c r="J20">
        <v>2500</v>
      </c>
      <c r="K20">
        <v>0</v>
      </c>
      <c r="L20">
        <v>10000</v>
      </c>
      <c r="M20" s="7">
        <v>10000</v>
      </c>
      <c r="N20" s="19">
        <f t="shared" si="2"/>
        <v>-20000</v>
      </c>
      <c r="O20" t="str">
        <f t="shared" si="3"/>
        <v>Normal</v>
      </c>
      <c r="P20">
        <f>_xlfn.XLOOKUP(E20,Products_Master!B:B,Products_Master!D:D)</f>
        <v>15000</v>
      </c>
    </row>
    <row r="21" spans="1:16" x14ac:dyDescent="0.35">
      <c r="A21" t="s">
        <v>52</v>
      </c>
      <c r="B21" s="5">
        <v>45317</v>
      </c>
      <c r="C21" s="2" t="str">
        <f t="shared" si="0"/>
        <v>January</v>
      </c>
      <c r="D21" s="2" t="str">
        <f t="shared" si="1"/>
        <v>2024</v>
      </c>
      <c r="E21" t="s">
        <v>31</v>
      </c>
      <c r="F21" t="s">
        <v>18</v>
      </c>
      <c r="G21" t="s">
        <v>37</v>
      </c>
      <c r="H21" t="s">
        <v>34</v>
      </c>
      <c r="I21">
        <v>1</v>
      </c>
      <c r="J21">
        <v>45000</v>
      </c>
      <c r="K21">
        <v>0</v>
      </c>
      <c r="L21">
        <v>45000</v>
      </c>
      <c r="M21" s="7">
        <v>45000</v>
      </c>
      <c r="N21" s="19">
        <f t="shared" si="2"/>
        <v>30000</v>
      </c>
      <c r="O21" t="str">
        <f t="shared" si="3"/>
        <v>Normal</v>
      </c>
      <c r="P21">
        <f>_xlfn.XLOOKUP(E21,Products_Master!B:B,Products_Master!D:D)</f>
        <v>15000</v>
      </c>
    </row>
    <row r="22" spans="1:16" x14ac:dyDescent="0.35">
      <c r="A22" t="s">
        <v>53</v>
      </c>
      <c r="B22" s="5">
        <v>45317</v>
      </c>
      <c r="C22" s="2" t="str">
        <f t="shared" si="0"/>
        <v>January</v>
      </c>
      <c r="D22" s="2" t="str">
        <f t="shared" si="1"/>
        <v>2024</v>
      </c>
      <c r="E22" t="s">
        <v>54</v>
      </c>
      <c r="F22" t="s">
        <v>18</v>
      </c>
      <c r="G22" t="s">
        <v>14</v>
      </c>
      <c r="H22" t="s">
        <v>32</v>
      </c>
      <c r="I22">
        <v>8</v>
      </c>
      <c r="J22">
        <v>85000</v>
      </c>
      <c r="K22">
        <v>0</v>
      </c>
      <c r="L22">
        <v>680000</v>
      </c>
      <c r="M22" s="7">
        <v>680000</v>
      </c>
      <c r="N22" s="19">
        <f t="shared" si="2"/>
        <v>4880000</v>
      </c>
      <c r="O22" t="str">
        <f t="shared" si="3"/>
        <v>Normal</v>
      </c>
      <c r="P22">
        <f>_xlfn.XLOOKUP(E22,Products_Master!B:B,Products_Master!D:D)</f>
        <v>70000</v>
      </c>
    </row>
    <row r="23" spans="1:16" x14ac:dyDescent="0.35">
      <c r="A23" t="s">
        <v>55</v>
      </c>
      <c r="B23" s="5">
        <v>45317</v>
      </c>
      <c r="C23" s="2" t="str">
        <f t="shared" si="0"/>
        <v>January</v>
      </c>
      <c r="D23" s="2" t="str">
        <f t="shared" si="1"/>
        <v>2024</v>
      </c>
      <c r="E23" t="s">
        <v>17</v>
      </c>
      <c r="F23" t="s">
        <v>13</v>
      </c>
      <c r="G23" t="s">
        <v>24</v>
      </c>
      <c r="H23" t="s">
        <v>34</v>
      </c>
      <c r="I23">
        <v>3</v>
      </c>
      <c r="J23">
        <v>1500</v>
      </c>
      <c r="K23">
        <v>10</v>
      </c>
      <c r="L23">
        <v>4500</v>
      </c>
      <c r="M23" s="7">
        <v>4050</v>
      </c>
      <c r="N23" s="19">
        <f t="shared" si="2"/>
        <v>6150</v>
      </c>
      <c r="O23" t="str">
        <f t="shared" si="3"/>
        <v>Normal</v>
      </c>
      <c r="P23">
        <f>_xlfn.XLOOKUP(E23,Products_Master!B:B,Products_Master!D:D)</f>
        <v>2000</v>
      </c>
    </row>
    <row r="24" spans="1:16" x14ac:dyDescent="0.35">
      <c r="A24" t="s">
        <v>56</v>
      </c>
      <c r="B24" s="5">
        <v>45319</v>
      </c>
      <c r="C24" s="2" t="str">
        <f t="shared" si="0"/>
        <v>January</v>
      </c>
      <c r="D24" s="2" t="str">
        <f t="shared" si="1"/>
        <v>2024</v>
      </c>
      <c r="E24" t="s">
        <v>36</v>
      </c>
      <c r="F24" t="s">
        <v>13</v>
      </c>
      <c r="G24" t="s">
        <v>21</v>
      </c>
      <c r="H24" t="s">
        <v>25</v>
      </c>
      <c r="I24">
        <v>9</v>
      </c>
      <c r="J24">
        <v>45000</v>
      </c>
      <c r="K24">
        <v>10</v>
      </c>
      <c r="L24">
        <v>405000</v>
      </c>
      <c r="M24" s="7">
        <v>364500</v>
      </c>
      <c r="N24" s="19">
        <f t="shared" si="2"/>
        <v>3273300</v>
      </c>
      <c r="O24" t="str">
        <f t="shared" si="3"/>
        <v>Normal</v>
      </c>
      <c r="P24">
        <f>_xlfn.XLOOKUP(E24,Products_Master!B:B,Products_Master!D:D)</f>
        <v>800</v>
      </c>
    </row>
    <row r="25" spans="1:16" x14ac:dyDescent="0.35">
      <c r="A25" t="s">
        <v>57</v>
      </c>
      <c r="B25" s="5">
        <v>45320</v>
      </c>
      <c r="C25" s="2" t="str">
        <f t="shared" si="0"/>
        <v>January</v>
      </c>
      <c r="D25" s="2" t="str">
        <f t="shared" si="1"/>
        <v>2024</v>
      </c>
      <c r="E25" t="s">
        <v>27</v>
      </c>
      <c r="F25" t="s">
        <v>18</v>
      </c>
      <c r="G25" t="s">
        <v>24</v>
      </c>
      <c r="H25" t="s">
        <v>34</v>
      </c>
      <c r="I25">
        <v>6</v>
      </c>
      <c r="J25">
        <v>45000</v>
      </c>
      <c r="K25">
        <v>0</v>
      </c>
      <c r="L25">
        <v>270000</v>
      </c>
      <c r="M25" s="7">
        <v>270000</v>
      </c>
      <c r="N25" s="19">
        <f t="shared" si="2"/>
        <v>1614600</v>
      </c>
      <c r="O25" t="str">
        <f t="shared" si="3"/>
        <v>Normal</v>
      </c>
      <c r="P25">
        <f>_xlfn.XLOOKUP(E25,Products_Master!B:B,Products_Master!D:D)</f>
        <v>900</v>
      </c>
    </row>
    <row r="26" spans="1:16" x14ac:dyDescent="0.35">
      <c r="A26" t="s">
        <v>58</v>
      </c>
      <c r="B26" s="5">
        <v>45322</v>
      </c>
      <c r="C26" s="2" t="str">
        <f t="shared" si="0"/>
        <v>January</v>
      </c>
      <c r="D26" s="2" t="str">
        <f t="shared" si="1"/>
        <v>2024</v>
      </c>
      <c r="E26" t="s">
        <v>23</v>
      </c>
      <c r="F26" t="s">
        <v>13</v>
      </c>
      <c r="G26" t="s">
        <v>19</v>
      </c>
      <c r="H26" t="s">
        <v>25</v>
      </c>
      <c r="I26">
        <v>9</v>
      </c>
      <c r="J26">
        <v>1500</v>
      </c>
      <c r="K26">
        <v>15</v>
      </c>
      <c r="L26">
        <v>13500</v>
      </c>
      <c r="M26" s="7">
        <v>11475</v>
      </c>
      <c r="N26" s="19">
        <f t="shared" si="2"/>
        <v>-58725</v>
      </c>
      <c r="O26" t="str">
        <f t="shared" si="3"/>
        <v>Normal</v>
      </c>
      <c r="P26">
        <f>_xlfn.XLOOKUP(E26,Products_Master!B:B,Products_Master!D:D)</f>
        <v>18000</v>
      </c>
    </row>
    <row r="27" spans="1:16" x14ac:dyDescent="0.35">
      <c r="A27" t="s">
        <v>59</v>
      </c>
      <c r="B27" s="5">
        <v>45324</v>
      </c>
      <c r="C27" s="2" t="str">
        <f t="shared" si="0"/>
        <v>February</v>
      </c>
      <c r="D27" s="2" t="str">
        <f t="shared" si="1"/>
        <v>2024</v>
      </c>
      <c r="E27" t="s">
        <v>12</v>
      </c>
      <c r="F27" t="s">
        <v>13</v>
      </c>
      <c r="G27" t="s">
        <v>24</v>
      </c>
      <c r="H27" t="s">
        <v>15</v>
      </c>
      <c r="I27">
        <v>7</v>
      </c>
      <c r="J27">
        <v>15000</v>
      </c>
      <c r="K27">
        <v>5</v>
      </c>
      <c r="L27">
        <v>105000</v>
      </c>
      <c r="M27" s="7">
        <v>99750</v>
      </c>
      <c r="N27" s="19">
        <f t="shared" si="2"/>
        <v>453250</v>
      </c>
      <c r="O27" t="str">
        <f t="shared" si="3"/>
        <v>Normal</v>
      </c>
      <c r="P27">
        <f>_xlfn.XLOOKUP(E27,Products_Master!B:B,Products_Master!D:D)</f>
        <v>35000</v>
      </c>
    </row>
    <row r="28" spans="1:16" x14ac:dyDescent="0.35">
      <c r="A28" t="s">
        <v>60</v>
      </c>
      <c r="B28" s="5">
        <v>45324</v>
      </c>
      <c r="C28" s="2" t="str">
        <f t="shared" si="0"/>
        <v>February</v>
      </c>
      <c r="D28" s="2" t="str">
        <f t="shared" si="1"/>
        <v>2024</v>
      </c>
      <c r="E28" t="s">
        <v>12</v>
      </c>
      <c r="F28" t="s">
        <v>18</v>
      </c>
      <c r="G28" t="s">
        <v>39</v>
      </c>
      <c r="H28" t="s">
        <v>40</v>
      </c>
      <c r="I28">
        <v>2</v>
      </c>
      <c r="J28">
        <v>2500</v>
      </c>
      <c r="K28">
        <v>15</v>
      </c>
      <c r="L28">
        <v>5000</v>
      </c>
      <c r="M28" s="7">
        <v>4250</v>
      </c>
      <c r="N28" s="19">
        <f t="shared" si="2"/>
        <v>-61500</v>
      </c>
      <c r="O28" t="str">
        <f t="shared" si="3"/>
        <v>Normal</v>
      </c>
      <c r="P28">
        <f>_xlfn.XLOOKUP(E28,Products_Master!B:B,Products_Master!D:D)</f>
        <v>35000</v>
      </c>
    </row>
    <row r="29" spans="1:16" x14ac:dyDescent="0.35">
      <c r="A29" t="s">
        <v>61</v>
      </c>
      <c r="B29" s="5">
        <v>45324</v>
      </c>
      <c r="C29" s="2" t="str">
        <f t="shared" si="0"/>
        <v>February</v>
      </c>
      <c r="D29" s="2" t="str">
        <f t="shared" si="1"/>
        <v>2024</v>
      </c>
      <c r="E29" t="s">
        <v>27</v>
      </c>
      <c r="F29" t="s">
        <v>13</v>
      </c>
      <c r="G29" t="s">
        <v>37</v>
      </c>
      <c r="H29" t="s">
        <v>25</v>
      </c>
      <c r="I29">
        <v>6</v>
      </c>
      <c r="J29">
        <v>120000</v>
      </c>
      <c r="K29">
        <v>0</v>
      </c>
      <c r="L29">
        <v>720000</v>
      </c>
      <c r="M29" s="7">
        <v>720000</v>
      </c>
      <c r="N29" s="19">
        <f t="shared" si="2"/>
        <v>4314600</v>
      </c>
      <c r="O29" t="str">
        <f t="shared" si="3"/>
        <v>Normal</v>
      </c>
      <c r="P29">
        <f>_xlfn.XLOOKUP(E29,Products_Master!B:B,Products_Master!D:D)</f>
        <v>900</v>
      </c>
    </row>
    <row r="30" spans="1:16" x14ac:dyDescent="0.35">
      <c r="A30" t="s">
        <v>62</v>
      </c>
      <c r="B30" s="5">
        <v>45328</v>
      </c>
      <c r="C30" s="2" t="str">
        <f t="shared" si="0"/>
        <v>February</v>
      </c>
      <c r="D30" s="2" t="str">
        <f t="shared" si="1"/>
        <v>2024</v>
      </c>
      <c r="E30" t="s">
        <v>31</v>
      </c>
      <c r="F30" t="s">
        <v>13</v>
      </c>
      <c r="G30" t="s">
        <v>37</v>
      </c>
      <c r="H30" t="s">
        <v>40</v>
      </c>
      <c r="I30">
        <v>5</v>
      </c>
      <c r="J30">
        <v>2500</v>
      </c>
      <c r="K30">
        <v>5</v>
      </c>
      <c r="L30">
        <v>12500</v>
      </c>
      <c r="M30" s="7">
        <v>11875</v>
      </c>
      <c r="N30" s="19">
        <f t="shared" si="2"/>
        <v>-15625</v>
      </c>
      <c r="O30" t="str">
        <f t="shared" si="3"/>
        <v>Normal</v>
      </c>
      <c r="P30">
        <f>_xlfn.XLOOKUP(E30,Products_Master!B:B,Products_Master!D:D)</f>
        <v>15000</v>
      </c>
    </row>
    <row r="31" spans="1:16" x14ac:dyDescent="0.35">
      <c r="A31" t="s">
        <v>63</v>
      </c>
      <c r="B31" s="5">
        <v>45331</v>
      </c>
      <c r="C31" s="2" t="str">
        <f t="shared" si="0"/>
        <v>February</v>
      </c>
      <c r="D31" s="2" t="str">
        <f t="shared" si="1"/>
        <v>2024</v>
      </c>
      <c r="E31" t="s">
        <v>23</v>
      </c>
      <c r="F31" t="s">
        <v>13</v>
      </c>
      <c r="G31" t="s">
        <v>24</v>
      </c>
      <c r="H31" t="s">
        <v>49</v>
      </c>
      <c r="I31">
        <v>2</v>
      </c>
      <c r="J31">
        <v>8000</v>
      </c>
      <c r="K31">
        <v>0</v>
      </c>
      <c r="L31">
        <v>16000</v>
      </c>
      <c r="M31" s="7">
        <v>16000</v>
      </c>
      <c r="N31" s="19">
        <f t="shared" si="2"/>
        <v>-4000</v>
      </c>
      <c r="O31" t="str">
        <f t="shared" si="3"/>
        <v>Normal</v>
      </c>
      <c r="P31">
        <f>_xlfn.XLOOKUP(E31,Products_Master!B:B,Products_Master!D:D)</f>
        <v>18000</v>
      </c>
    </row>
    <row r="32" spans="1:16" x14ac:dyDescent="0.35">
      <c r="A32" t="s">
        <v>64</v>
      </c>
      <c r="B32" s="5">
        <v>45331</v>
      </c>
      <c r="C32" s="2" t="str">
        <f t="shared" si="0"/>
        <v>February</v>
      </c>
      <c r="D32" s="2" t="str">
        <f t="shared" si="1"/>
        <v>2024</v>
      </c>
      <c r="E32" t="s">
        <v>27</v>
      </c>
      <c r="F32" t="s">
        <v>18</v>
      </c>
      <c r="G32" t="s">
        <v>19</v>
      </c>
      <c r="H32" t="s">
        <v>29</v>
      </c>
      <c r="I32">
        <v>2</v>
      </c>
      <c r="J32">
        <v>1500</v>
      </c>
      <c r="K32">
        <v>0</v>
      </c>
      <c r="L32">
        <v>3000</v>
      </c>
      <c r="M32" s="7">
        <v>3000</v>
      </c>
      <c r="N32" s="19">
        <f t="shared" si="2"/>
        <v>4200</v>
      </c>
      <c r="O32" t="str">
        <f t="shared" si="3"/>
        <v>Normal</v>
      </c>
      <c r="P32">
        <f>_xlfn.XLOOKUP(E32,Products_Master!B:B,Products_Master!D:D)</f>
        <v>900</v>
      </c>
    </row>
    <row r="33" spans="1:16" x14ac:dyDescent="0.35">
      <c r="A33" t="s">
        <v>65</v>
      </c>
      <c r="B33" s="5">
        <v>45332</v>
      </c>
      <c r="C33" s="2" t="str">
        <f t="shared" si="0"/>
        <v>February</v>
      </c>
      <c r="D33" s="2" t="str">
        <f t="shared" si="1"/>
        <v>2024</v>
      </c>
      <c r="E33" t="s">
        <v>12</v>
      </c>
      <c r="F33" t="s">
        <v>13</v>
      </c>
      <c r="G33" t="s">
        <v>24</v>
      </c>
      <c r="H33" t="s">
        <v>34</v>
      </c>
      <c r="I33">
        <v>2</v>
      </c>
      <c r="J33">
        <v>2500</v>
      </c>
      <c r="K33">
        <v>5</v>
      </c>
      <c r="L33">
        <v>5000</v>
      </c>
      <c r="M33" s="7">
        <v>4750</v>
      </c>
      <c r="N33" s="19">
        <f t="shared" si="2"/>
        <v>-60500</v>
      </c>
      <c r="O33" t="str">
        <f t="shared" si="3"/>
        <v>Normal</v>
      </c>
      <c r="P33">
        <f>_xlfn.XLOOKUP(E33,Products_Master!B:B,Products_Master!D:D)</f>
        <v>35000</v>
      </c>
    </row>
    <row r="34" spans="1:16" x14ac:dyDescent="0.35">
      <c r="A34" t="s">
        <v>66</v>
      </c>
      <c r="B34" s="5">
        <v>45332</v>
      </c>
      <c r="C34" s="2" t="str">
        <f t="shared" si="0"/>
        <v>February</v>
      </c>
      <c r="D34" s="2" t="str">
        <f t="shared" si="1"/>
        <v>2024</v>
      </c>
      <c r="E34" t="s">
        <v>42</v>
      </c>
      <c r="F34" t="s">
        <v>18</v>
      </c>
      <c r="G34" t="s">
        <v>24</v>
      </c>
      <c r="H34" t="s">
        <v>29</v>
      </c>
      <c r="I34">
        <v>8</v>
      </c>
      <c r="J34">
        <v>15000</v>
      </c>
      <c r="K34">
        <v>0</v>
      </c>
      <c r="L34">
        <v>120000</v>
      </c>
      <c r="M34" s="7">
        <v>120000</v>
      </c>
      <c r="N34" s="19">
        <f t="shared" si="2"/>
        <v>955200</v>
      </c>
      <c r="O34" t="str">
        <f t="shared" si="3"/>
        <v>Normal</v>
      </c>
      <c r="P34">
        <f>_xlfn.XLOOKUP(E34,Products_Master!B:B,Products_Master!D:D)</f>
        <v>600</v>
      </c>
    </row>
    <row r="35" spans="1:16" x14ac:dyDescent="0.35">
      <c r="A35" t="s">
        <v>67</v>
      </c>
      <c r="B35" s="5">
        <v>45334</v>
      </c>
      <c r="C35" s="2" t="str">
        <f t="shared" si="0"/>
        <v>February</v>
      </c>
      <c r="D35" s="2" t="str">
        <f t="shared" si="1"/>
        <v>2024</v>
      </c>
      <c r="E35" t="s">
        <v>31</v>
      </c>
      <c r="F35" t="s">
        <v>13</v>
      </c>
      <c r="G35" t="s">
        <v>14</v>
      </c>
      <c r="H35" t="s">
        <v>32</v>
      </c>
      <c r="I35">
        <v>8</v>
      </c>
      <c r="J35">
        <v>85000</v>
      </c>
      <c r="K35">
        <v>10</v>
      </c>
      <c r="L35">
        <v>680000</v>
      </c>
      <c r="M35" s="7">
        <v>612000</v>
      </c>
      <c r="N35" s="19">
        <f t="shared" si="2"/>
        <v>4776000</v>
      </c>
      <c r="O35" t="str">
        <f t="shared" si="3"/>
        <v>Normal</v>
      </c>
      <c r="P35">
        <f>_xlfn.XLOOKUP(E35,Products_Master!B:B,Products_Master!D:D)</f>
        <v>15000</v>
      </c>
    </row>
    <row r="36" spans="1:16" x14ac:dyDescent="0.35">
      <c r="A36" t="s">
        <v>68</v>
      </c>
      <c r="B36" s="5">
        <v>45336</v>
      </c>
      <c r="C36" s="2" t="str">
        <f t="shared" si="0"/>
        <v>February</v>
      </c>
      <c r="D36" s="2" t="str">
        <f t="shared" si="1"/>
        <v>2024</v>
      </c>
      <c r="E36" t="s">
        <v>17</v>
      </c>
      <c r="F36" t="s">
        <v>18</v>
      </c>
      <c r="G36" t="s">
        <v>21</v>
      </c>
      <c r="H36" t="s">
        <v>15</v>
      </c>
      <c r="I36">
        <v>8</v>
      </c>
      <c r="J36">
        <v>85000</v>
      </c>
      <c r="K36">
        <v>0</v>
      </c>
      <c r="L36">
        <v>680000</v>
      </c>
      <c r="M36" s="7">
        <v>680000</v>
      </c>
      <c r="N36" s="19">
        <f t="shared" si="2"/>
        <v>5424000</v>
      </c>
      <c r="O36" t="str">
        <f t="shared" si="3"/>
        <v>Normal</v>
      </c>
      <c r="P36">
        <f>_xlfn.XLOOKUP(E36,Products_Master!B:B,Products_Master!D:D)</f>
        <v>2000</v>
      </c>
    </row>
    <row r="37" spans="1:16" x14ac:dyDescent="0.35">
      <c r="A37" t="s">
        <v>69</v>
      </c>
      <c r="B37" s="5">
        <v>45337</v>
      </c>
      <c r="C37" s="2" t="str">
        <f t="shared" si="0"/>
        <v>February</v>
      </c>
      <c r="D37" s="2" t="str">
        <f t="shared" si="1"/>
        <v>2024</v>
      </c>
      <c r="E37" t="s">
        <v>31</v>
      </c>
      <c r="F37" t="s">
        <v>13</v>
      </c>
      <c r="G37" t="s">
        <v>39</v>
      </c>
      <c r="H37" t="s">
        <v>34</v>
      </c>
      <c r="I37">
        <v>3</v>
      </c>
      <c r="J37">
        <v>15000</v>
      </c>
      <c r="K37">
        <v>5</v>
      </c>
      <c r="L37">
        <v>45000</v>
      </c>
      <c r="M37" s="7">
        <v>42750</v>
      </c>
      <c r="N37" s="19">
        <f t="shared" si="2"/>
        <v>83250</v>
      </c>
      <c r="O37" t="str">
        <f t="shared" si="3"/>
        <v>Normal</v>
      </c>
      <c r="P37">
        <f>_xlfn.XLOOKUP(E37,Products_Master!B:B,Products_Master!D:D)</f>
        <v>15000</v>
      </c>
    </row>
    <row r="38" spans="1:16" x14ac:dyDescent="0.35">
      <c r="A38" t="s">
        <v>70</v>
      </c>
      <c r="B38" s="5">
        <v>45337</v>
      </c>
      <c r="C38" s="2" t="str">
        <f t="shared" si="0"/>
        <v>February</v>
      </c>
      <c r="D38" s="2" t="str">
        <f t="shared" si="1"/>
        <v>2024</v>
      </c>
      <c r="E38" t="s">
        <v>42</v>
      </c>
      <c r="F38" t="s">
        <v>13</v>
      </c>
      <c r="G38" t="s">
        <v>39</v>
      </c>
      <c r="H38" t="s">
        <v>25</v>
      </c>
      <c r="I38">
        <v>6</v>
      </c>
      <c r="J38">
        <v>120000</v>
      </c>
      <c r="K38">
        <v>0</v>
      </c>
      <c r="L38">
        <v>720000</v>
      </c>
      <c r="M38" s="7">
        <v>720000</v>
      </c>
      <c r="N38" s="19">
        <f t="shared" si="2"/>
        <v>4316400</v>
      </c>
      <c r="O38" t="str">
        <f t="shared" si="3"/>
        <v>Normal</v>
      </c>
      <c r="P38">
        <f>_xlfn.XLOOKUP(E38,Products_Master!B:B,Products_Master!D:D)</f>
        <v>600</v>
      </c>
    </row>
    <row r="39" spans="1:16" x14ac:dyDescent="0.35">
      <c r="A39" t="s">
        <v>71</v>
      </c>
      <c r="B39" s="5">
        <v>45338</v>
      </c>
      <c r="C39" s="2" t="str">
        <f t="shared" si="0"/>
        <v>February</v>
      </c>
      <c r="D39" s="2" t="str">
        <f t="shared" si="1"/>
        <v>2024</v>
      </c>
      <c r="E39" t="s">
        <v>17</v>
      </c>
      <c r="F39" t="s">
        <v>18</v>
      </c>
      <c r="G39" t="s">
        <v>19</v>
      </c>
      <c r="H39" t="s">
        <v>49</v>
      </c>
      <c r="I39">
        <v>9</v>
      </c>
      <c r="J39">
        <v>8000</v>
      </c>
      <c r="K39">
        <v>5</v>
      </c>
      <c r="L39">
        <v>72000</v>
      </c>
      <c r="M39" s="7">
        <v>68400</v>
      </c>
      <c r="N39" s="19">
        <f t="shared" si="2"/>
        <v>597600</v>
      </c>
      <c r="O39" t="str">
        <f t="shared" si="3"/>
        <v>Normal</v>
      </c>
      <c r="P39">
        <f>_xlfn.XLOOKUP(E39,Products_Master!B:B,Products_Master!D:D)</f>
        <v>2000</v>
      </c>
    </row>
    <row r="40" spans="1:16" x14ac:dyDescent="0.35">
      <c r="A40" t="s">
        <v>72</v>
      </c>
      <c r="B40" s="5">
        <v>45339</v>
      </c>
      <c r="C40" s="2" t="str">
        <f t="shared" si="0"/>
        <v>February</v>
      </c>
      <c r="D40" s="2" t="str">
        <f t="shared" si="1"/>
        <v>2024</v>
      </c>
      <c r="E40" t="s">
        <v>17</v>
      </c>
      <c r="F40" t="s">
        <v>13</v>
      </c>
      <c r="G40" t="s">
        <v>14</v>
      </c>
      <c r="H40" t="s">
        <v>34</v>
      </c>
      <c r="I40">
        <v>2</v>
      </c>
      <c r="J40">
        <v>85000</v>
      </c>
      <c r="K40">
        <v>0</v>
      </c>
      <c r="L40">
        <v>170000</v>
      </c>
      <c r="M40" s="7">
        <v>170000</v>
      </c>
      <c r="N40" s="19">
        <f t="shared" si="2"/>
        <v>336000</v>
      </c>
      <c r="O40" t="str">
        <f t="shared" si="3"/>
        <v>Normal</v>
      </c>
      <c r="P40">
        <f>_xlfn.XLOOKUP(E40,Products_Master!B:B,Products_Master!D:D)</f>
        <v>2000</v>
      </c>
    </row>
    <row r="41" spans="1:16" x14ac:dyDescent="0.35">
      <c r="A41" t="s">
        <v>73</v>
      </c>
      <c r="B41" s="5">
        <v>45340</v>
      </c>
      <c r="C41" s="2" t="str">
        <f t="shared" si="0"/>
        <v>February</v>
      </c>
      <c r="D41" s="2" t="str">
        <f t="shared" si="1"/>
        <v>2024</v>
      </c>
      <c r="E41" t="s">
        <v>42</v>
      </c>
      <c r="F41" t="s">
        <v>18</v>
      </c>
      <c r="G41" t="s">
        <v>37</v>
      </c>
      <c r="H41" t="s">
        <v>15</v>
      </c>
      <c r="I41">
        <v>6</v>
      </c>
      <c r="J41">
        <v>85000</v>
      </c>
      <c r="K41">
        <v>0</v>
      </c>
      <c r="L41">
        <v>510000</v>
      </c>
      <c r="M41" s="7">
        <v>510000</v>
      </c>
      <c r="N41" s="19">
        <f t="shared" si="2"/>
        <v>3056400</v>
      </c>
      <c r="O41" t="str">
        <f t="shared" si="3"/>
        <v>Normal</v>
      </c>
      <c r="P41">
        <f>_xlfn.XLOOKUP(E41,Products_Master!B:B,Products_Master!D:D)</f>
        <v>600</v>
      </c>
    </row>
    <row r="42" spans="1:16" x14ac:dyDescent="0.35">
      <c r="A42" t="s">
        <v>74</v>
      </c>
      <c r="B42" s="5">
        <v>45343</v>
      </c>
      <c r="C42" s="2" t="str">
        <f t="shared" si="0"/>
        <v>February</v>
      </c>
      <c r="D42" s="2" t="str">
        <f t="shared" si="1"/>
        <v>2024</v>
      </c>
      <c r="E42" t="s">
        <v>42</v>
      </c>
      <c r="F42" t="s">
        <v>18</v>
      </c>
      <c r="G42" t="s">
        <v>19</v>
      </c>
      <c r="H42" t="s">
        <v>49</v>
      </c>
      <c r="I42">
        <v>4</v>
      </c>
      <c r="J42">
        <v>85000</v>
      </c>
      <c r="K42">
        <v>0</v>
      </c>
      <c r="L42">
        <v>340000</v>
      </c>
      <c r="M42" s="7">
        <v>340000</v>
      </c>
      <c r="N42" s="19">
        <f t="shared" si="2"/>
        <v>1357600</v>
      </c>
      <c r="O42" t="str">
        <f t="shared" si="3"/>
        <v>Normal</v>
      </c>
      <c r="P42">
        <f>_xlfn.XLOOKUP(E42,Products_Master!B:B,Products_Master!D:D)</f>
        <v>600</v>
      </c>
    </row>
    <row r="43" spans="1:16" x14ac:dyDescent="0.35">
      <c r="A43" t="s">
        <v>75</v>
      </c>
      <c r="B43" s="5">
        <v>45343</v>
      </c>
      <c r="C43" s="2" t="str">
        <f t="shared" si="0"/>
        <v>February</v>
      </c>
      <c r="D43" s="2" t="str">
        <f t="shared" si="1"/>
        <v>2024</v>
      </c>
      <c r="E43" t="s">
        <v>42</v>
      </c>
      <c r="F43" t="s">
        <v>18</v>
      </c>
      <c r="G43" t="s">
        <v>14</v>
      </c>
      <c r="H43" t="s">
        <v>49</v>
      </c>
      <c r="I43">
        <v>9</v>
      </c>
      <c r="J43">
        <v>15000</v>
      </c>
      <c r="K43">
        <v>15</v>
      </c>
      <c r="L43">
        <v>135000</v>
      </c>
      <c r="M43" s="7">
        <v>114750</v>
      </c>
      <c r="N43" s="19">
        <f t="shared" si="2"/>
        <v>1027350</v>
      </c>
      <c r="O43" t="str">
        <f t="shared" si="3"/>
        <v>Normal</v>
      </c>
      <c r="P43">
        <f>_xlfn.XLOOKUP(E43,Products_Master!B:B,Products_Master!D:D)</f>
        <v>600</v>
      </c>
    </row>
    <row r="44" spans="1:16" x14ac:dyDescent="0.35">
      <c r="A44" t="s">
        <v>76</v>
      </c>
      <c r="B44" s="5">
        <v>45343</v>
      </c>
      <c r="C44" s="2" t="str">
        <f t="shared" si="0"/>
        <v>February</v>
      </c>
      <c r="D44" s="2" t="str">
        <f t="shared" si="1"/>
        <v>2024</v>
      </c>
      <c r="E44" t="s">
        <v>27</v>
      </c>
      <c r="F44" t="s">
        <v>18</v>
      </c>
      <c r="G44" t="s">
        <v>24</v>
      </c>
      <c r="H44" t="s">
        <v>49</v>
      </c>
      <c r="I44">
        <v>5</v>
      </c>
      <c r="J44">
        <v>1500</v>
      </c>
      <c r="K44">
        <v>0</v>
      </c>
      <c r="L44">
        <v>7500</v>
      </c>
      <c r="M44" s="7">
        <v>7500</v>
      </c>
      <c r="N44" s="19">
        <f t="shared" si="2"/>
        <v>33000</v>
      </c>
      <c r="O44" t="str">
        <f t="shared" si="3"/>
        <v>Normal</v>
      </c>
      <c r="P44">
        <f>_xlfn.XLOOKUP(E44,Products_Master!B:B,Products_Master!D:D)</f>
        <v>900</v>
      </c>
    </row>
    <row r="45" spans="1:16" x14ac:dyDescent="0.35">
      <c r="A45" t="s">
        <v>77</v>
      </c>
      <c r="B45" s="5">
        <v>45344</v>
      </c>
      <c r="C45" s="2" t="str">
        <f t="shared" si="0"/>
        <v>February</v>
      </c>
      <c r="D45" s="2" t="str">
        <f t="shared" si="1"/>
        <v>2024</v>
      </c>
      <c r="E45" t="s">
        <v>31</v>
      </c>
      <c r="F45" t="s">
        <v>13</v>
      </c>
      <c r="G45" t="s">
        <v>24</v>
      </c>
      <c r="H45" t="s">
        <v>25</v>
      </c>
      <c r="I45">
        <v>8</v>
      </c>
      <c r="J45">
        <v>120000</v>
      </c>
      <c r="K45">
        <v>0</v>
      </c>
      <c r="L45">
        <v>960000</v>
      </c>
      <c r="M45" s="7">
        <v>960000</v>
      </c>
      <c r="N45" s="19">
        <f t="shared" si="2"/>
        <v>7560000</v>
      </c>
      <c r="O45" t="str">
        <f t="shared" si="3"/>
        <v>Normal</v>
      </c>
      <c r="P45">
        <f>_xlfn.XLOOKUP(E45,Products_Master!B:B,Products_Master!D:D)</f>
        <v>15000</v>
      </c>
    </row>
    <row r="46" spans="1:16" x14ac:dyDescent="0.35">
      <c r="A46" t="s">
        <v>78</v>
      </c>
      <c r="B46" s="5">
        <v>45347</v>
      </c>
      <c r="C46" s="2" t="str">
        <f t="shared" si="0"/>
        <v>February</v>
      </c>
      <c r="D46" s="2" t="str">
        <f t="shared" si="1"/>
        <v>2024</v>
      </c>
      <c r="E46" t="s">
        <v>42</v>
      </c>
      <c r="F46" t="s">
        <v>18</v>
      </c>
      <c r="G46" t="s">
        <v>14</v>
      </c>
      <c r="H46" t="s">
        <v>40</v>
      </c>
      <c r="I46">
        <v>2</v>
      </c>
      <c r="J46">
        <v>15000</v>
      </c>
      <c r="K46">
        <v>10</v>
      </c>
      <c r="L46">
        <v>30000</v>
      </c>
      <c r="M46" s="7">
        <v>27000</v>
      </c>
      <c r="N46" s="19">
        <f t="shared" si="2"/>
        <v>52800</v>
      </c>
      <c r="O46" t="str">
        <f t="shared" si="3"/>
        <v>Normal</v>
      </c>
      <c r="P46">
        <f>_xlfn.XLOOKUP(E46,Products_Master!B:B,Products_Master!D:D)</f>
        <v>600</v>
      </c>
    </row>
    <row r="47" spans="1:16" x14ac:dyDescent="0.35">
      <c r="A47" t="s">
        <v>79</v>
      </c>
      <c r="B47" s="5">
        <v>45349</v>
      </c>
      <c r="C47" s="2" t="str">
        <f t="shared" si="0"/>
        <v>February</v>
      </c>
      <c r="D47" s="2" t="str">
        <f t="shared" si="1"/>
        <v>2024</v>
      </c>
      <c r="E47" t="s">
        <v>42</v>
      </c>
      <c r="F47" t="s">
        <v>13</v>
      </c>
      <c r="G47" t="s">
        <v>19</v>
      </c>
      <c r="H47" t="s">
        <v>32</v>
      </c>
      <c r="I47">
        <v>6</v>
      </c>
      <c r="J47">
        <v>15000</v>
      </c>
      <c r="K47">
        <v>10</v>
      </c>
      <c r="L47">
        <v>90000</v>
      </c>
      <c r="M47" s="7">
        <v>81000</v>
      </c>
      <c r="N47" s="19">
        <f t="shared" si="2"/>
        <v>482400</v>
      </c>
      <c r="O47" t="str">
        <f t="shared" si="3"/>
        <v>Normal</v>
      </c>
      <c r="P47">
        <f>_xlfn.XLOOKUP(E47,Products_Master!B:B,Products_Master!D:D)</f>
        <v>600</v>
      </c>
    </row>
    <row r="48" spans="1:16" x14ac:dyDescent="0.35">
      <c r="A48" t="s">
        <v>80</v>
      </c>
      <c r="B48" s="5">
        <v>45350</v>
      </c>
      <c r="C48" s="2" t="str">
        <f t="shared" si="0"/>
        <v>February</v>
      </c>
      <c r="D48" s="2" t="str">
        <f t="shared" si="1"/>
        <v>2024</v>
      </c>
      <c r="E48" t="s">
        <v>17</v>
      </c>
      <c r="F48" t="s">
        <v>13</v>
      </c>
      <c r="G48" t="s">
        <v>24</v>
      </c>
      <c r="H48" t="s">
        <v>32</v>
      </c>
      <c r="I48">
        <v>8</v>
      </c>
      <c r="J48">
        <v>15000</v>
      </c>
      <c r="K48">
        <v>10</v>
      </c>
      <c r="L48">
        <v>120000</v>
      </c>
      <c r="M48" s="7">
        <v>108000</v>
      </c>
      <c r="N48" s="19">
        <f t="shared" si="2"/>
        <v>848000</v>
      </c>
      <c r="O48" t="str">
        <f t="shared" si="3"/>
        <v>Normal</v>
      </c>
      <c r="P48">
        <f>_xlfn.XLOOKUP(E48,Products_Master!B:B,Products_Master!D:D)</f>
        <v>2000</v>
      </c>
    </row>
    <row r="49" spans="1:16" x14ac:dyDescent="0.35">
      <c r="A49" t="s">
        <v>81</v>
      </c>
      <c r="B49" s="5">
        <v>45350</v>
      </c>
      <c r="C49" s="2" t="str">
        <f t="shared" si="0"/>
        <v>February</v>
      </c>
      <c r="D49" s="2" t="str">
        <f t="shared" si="1"/>
        <v>2024</v>
      </c>
      <c r="E49" t="s">
        <v>12</v>
      </c>
      <c r="F49" t="s">
        <v>13</v>
      </c>
      <c r="G49" t="s">
        <v>39</v>
      </c>
      <c r="H49" t="s">
        <v>49</v>
      </c>
      <c r="I49">
        <v>6</v>
      </c>
      <c r="J49">
        <v>15000</v>
      </c>
      <c r="K49">
        <v>10</v>
      </c>
      <c r="L49">
        <v>90000</v>
      </c>
      <c r="M49" s="7">
        <v>81000</v>
      </c>
      <c r="N49" s="19">
        <f t="shared" si="2"/>
        <v>276000</v>
      </c>
      <c r="O49" t="str">
        <f t="shared" si="3"/>
        <v>Normal</v>
      </c>
      <c r="P49">
        <f>_xlfn.XLOOKUP(E49,Products_Master!B:B,Products_Master!D:D)</f>
        <v>35000</v>
      </c>
    </row>
    <row r="50" spans="1:16" x14ac:dyDescent="0.35">
      <c r="A50" t="s">
        <v>82</v>
      </c>
      <c r="B50" s="5">
        <v>45351</v>
      </c>
      <c r="C50" s="2" t="str">
        <f t="shared" si="0"/>
        <v>February</v>
      </c>
      <c r="D50" s="2" t="str">
        <f t="shared" si="1"/>
        <v>2024</v>
      </c>
      <c r="E50" t="s">
        <v>27</v>
      </c>
      <c r="F50" t="s">
        <v>18</v>
      </c>
      <c r="G50" t="s">
        <v>21</v>
      </c>
      <c r="H50" t="s">
        <v>29</v>
      </c>
      <c r="I50">
        <v>2</v>
      </c>
      <c r="J50">
        <v>1500</v>
      </c>
      <c r="K50">
        <v>10</v>
      </c>
      <c r="L50">
        <v>3000</v>
      </c>
      <c r="M50" s="7">
        <v>2700</v>
      </c>
      <c r="N50" s="19">
        <f t="shared" si="2"/>
        <v>3600</v>
      </c>
      <c r="O50" t="str">
        <f t="shared" si="3"/>
        <v>Normal</v>
      </c>
      <c r="P50">
        <f>_xlfn.XLOOKUP(E50,Products_Master!B:B,Products_Master!D:D)</f>
        <v>900</v>
      </c>
    </row>
    <row r="51" spans="1:16" x14ac:dyDescent="0.35">
      <c r="A51" t="s">
        <v>83</v>
      </c>
      <c r="B51" s="5">
        <v>45351</v>
      </c>
      <c r="C51" s="2" t="str">
        <f t="shared" si="0"/>
        <v>February</v>
      </c>
      <c r="D51" s="2" t="str">
        <f t="shared" si="1"/>
        <v>2024</v>
      </c>
      <c r="E51" t="s">
        <v>17</v>
      </c>
      <c r="F51" t="s">
        <v>13</v>
      </c>
      <c r="G51" t="s">
        <v>14</v>
      </c>
      <c r="H51" t="s">
        <v>25</v>
      </c>
      <c r="I51">
        <v>3</v>
      </c>
      <c r="J51">
        <v>15000</v>
      </c>
      <c r="K51">
        <v>5</v>
      </c>
      <c r="L51">
        <v>45000</v>
      </c>
      <c r="M51" s="7">
        <v>42750</v>
      </c>
      <c r="N51" s="19">
        <f t="shared" si="2"/>
        <v>122250</v>
      </c>
      <c r="O51" t="str">
        <f t="shared" si="3"/>
        <v>Normal</v>
      </c>
      <c r="P51">
        <f>_xlfn.XLOOKUP(E51,Products_Master!B:B,Products_Master!D:D)</f>
        <v>2000</v>
      </c>
    </row>
    <row r="52" spans="1:16" x14ac:dyDescent="0.35">
      <c r="A52" t="s">
        <v>84</v>
      </c>
      <c r="B52" s="5">
        <v>45352</v>
      </c>
      <c r="C52" s="2" t="str">
        <f t="shared" si="0"/>
        <v>March</v>
      </c>
      <c r="D52" s="2" t="str">
        <f t="shared" si="1"/>
        <v>2024</v>
      </c>
      <c r="E52" t="s">
        <v>54</v>
      </c>
      <c r="F52" t="s">
        <v>13</v>
      </c>
      <c r="G52" t="s">
        <v>14</v>
      </c>
      <c r="H52" t="s">
        <v>25</v>
      </c>
      <c r="I52">
        <v>6</v>
      </c>
      <c r="J52">
        <v>8000</v>
      </c>
      <c r="K52">
        <v>15</v>
      </c>
      <c r="L52">
        <v>48000</v>
      </c>
      <c r="M52" s="7">
        <v>40800</v>
      </c>
      <c r="N52" s="19">
        <f t="shared" si="2"/>
        <v>-175200</v>
      </c>
      <c r="O52" t="str">
        <f t="shared" si="3"/>
        <v>Normal</v>
      </c>
      <c r="P52">
        <f>_xlfn.XLOOKUP(E52,Products_Master!B:B,Products_Master!D:D)</f>
        <v>70000</v>
      </c>
    </row>
    <row r="53" spans="1:16" x14ac:dyDescent="0.35">
      <c r="A53" t="s">
        <v>85</v>
      </c>
      <c r="B53" s="5">
        <v>45352</v>
      </c>
      <c r="C53" s="2" t="str">
        <f t="shared" si="0"/>
        <v>March</v>
      </c>
      <c r="D53" s="2" t="str">
        <f t="shared" si="1"/>
        <v>2024</v>
      </c>
      <c r="E53" t="s">
        <v>31</v>
      </c>
      <c r="F53" t="s">
        <v>18</v>
      </c>
      <c r="G53" t="s">
        <v>37</v>
      </c>
      <c r="H53" t="s">
        <v>29</v>
      </c>
      <c r="I53">
        <v>7</v>
      </c>
      <c r="J53">
        <v>15000</v>
      </c>
      <c r="K53">
        <v>10</v>
      </c>
      <c r="L53">
        <v>105000</v>
      </c>
      <c r="M53" s="7">
        <v>94500</v>
      </c>
      <c r="N53" s="19">
        <f t="shared" si="2"/>
        <v>556500</v>
      </c>
      <c r="O53" t="str">
        <f t="shared" si="3"/>
        <v>Normal</v>
      </c>
      <c r="P53">
        <f>_xlfn.XLOOKUP(E53,Products_Master!B:B,Products_Master!D:D)</f>
        <v>15000</v>
      </c>
    </row>
    <row r="54" spans="1:16" x14ac:dyDescent="0.35">
      <c r="A54" t="s">
        <v>86</v>
      </c>
      <c r="B54" s="5">
        <v>45354</v>
      </c>
      <c r="C54" s="2" t="str">
        <f t="shared" si="0"/>
        <v>March</v>
      </c>
      <c r="D54" s="2" t="str">
        <f t="shared" si="1"/>
        <v>2024</v>
      </c>
      <c r="E54" t="s">
        <v>23</v>
      </c>
      <c r="F54" t="s">
        <v>18</v>
      </c>
      <c r="G54" t="s">
        <v>19</v>
      </c>
      <c r="H54" t="s">
        <v>15</v>
      </c>
      <c r="I54">
        <v>7</v>
      </c>
      <c r="J54">
        <v>1500</v>
      </c>
      <c r="K54">
        <v>0</v>
      </c>
      <c r="L54">
        <v>10500</v>
      </c>
      <c r="M54" s="7">
        <v>10500</v>
      </c>
      <c r="N54" s="19">
        <f t="shared" si="2"/>
        <v>-52500</v>
      </c>
      <c r="O54" t="str">
        <f t="shared" si="3"/>
        <v>Normal</v>
      </c>
      <c r="P54">
        <f>_xlfn.XLOOKUP(E54,Products_Master!B:B,Products_Master!D:D)</f>
        <v>18000</v>
      </c>
    </row>
    <row r="55" spans="1:16" x14ac:dyDescent="0.35">
      <c r="A55" t="s">
        <v>87</v>
      </c>
      <c r="B55" s="5">
        <v>45354</v>
      </c>
      <c r="C55" s="2" t="str">
        <f t="shared" si="0"/>
        <v>March</v>
      </c>
      <c r="D55" s="2" t="str">
        <f t="shared" si="1"/>
        <v>2024</v>
      </c>
      <c r="E55" t="s">
        <v>17</v>
      </c>
      <c r="F55" t="s">
        <v>18</v>
      </c>
      <c r="G55" t="s">
        <v>19</v>
      </c>
      <c r="H55" t="s">
        <v>49</v>
      </c>
      <c r="I55">
        <v>6</v>
      </c>
      <c r="J55">
        <v>45000</v>
      </c>
      <c r="K55">
        <v>10</v>
      </c>
      <c r="L55">
        <v>270000</v>
      </c>
      <c r="M55" s="7">
        <v>243000</v>
      </c>
      <c r="N55" s="19">
        <f t="shared" si="2"/>
        <v>1446000</v>
      </c>
      <c r="O55" t="str">
        <f t="shared" si="3"/>
        <v>Normal</v>
      </c>
      <c r="P55">
        <f>_xlfn.XLOOKUP(E55,Products_Master!B:B,Products_Master!D:D)</f>
        <v>2000</v>
      </c>
    </row>
    <row r="56" spans="1:16" x14ac:dyDescent="0.35">
      <c r="A56" t="s">
        <v>88</v>
      </c>
      <c r="B56" s="5">
        <v>45355</v>
      </c>
      <c r="C56" s="2" t="str">
        <f t="shared" si="0"/>
        <v>March</v>
      </c>
      <c r="D56" s="2" t="str">
        <f t="shared" si="1"/>
        <v>2024</v>
      </c>
      <c r="E56" t="s">
        <v>36</v>
      </c>
      <c r="F56" t="s">
        <v>18</v>
      </c>
      <c r="G56" t="s">
        <v>39</v>
      </c>
      <c r="H56" t="s">
        <v>32</v>
      </c>
      <c r="I56">
        <v>5</v>
      </c>
      <c r="J56">
        <v>1500</v>
      </c>
      <c r="K56">
        <v>15</v>
      </c>
      <c r="L56">
        <v>7500</v>
      </c>
      <c r="M56" s="7">
        <v>6375</v>
      </c>
      <c r="N56" s="19">
        <f t="shared" si="2"/>
        <v>27875</v>
      </c>
      <c r="O56" t="str">
        <f t="shared" si="3"/>
        <v>Normal</v>
      </c>
      <c r="P56">
        <f>_xlfn.XLOOKUP(E56,Products_Master!B:B,Products_Master!D:D)</f>
        <v>800</v>
      </c>
    </row>
    <row r="57" spans="1:16" x14ac:dyDescent="0.35">
      <c r="A57" t="s">
        <v>89</v>
      </c>
      <c r="B57" s="5">
        <v>45357</v>
      </c>
      <c r="C57" s="2" t="str">
        <f t="shared" si="0"/>
        <v>March</v>
      </c>
      <c r="D57" s="2" t="str">
        <f t="shared" si="1"/>
        <v>2024</v>
      </c>
      <c r="E57" t="s">
        <v>54</v>
      </c>
      <c r="F57" t="s">
        <v>18</v>
      </c>
      <c r="G57" t="s">
        <v>39</v>
      </c>
      <c r="H57" t="s">
        <v>32</v>
      </c>
      <c r="I57">
        <v>8</v>
      </c>
      <c r="J57">
        <v>85000</v>
      </c>
      <c r="K57">
        <v>0</v>
      </c>
      <c r="L57">
        <v>680000</v>
      </c>
      <c r="M57" s="7">
        <v>680000</v>
      </c>
      <c r="N57" s="19">
        <f t="shared" si="2"/>
        <v>4880000</v>
      </c>
      <c r="O57" t="str">
        <f t="shared" si="3"/>
        <v>Normal</v>
      </c>
      <c r="P57">
        <f>_xlfn.XLOOKUP(E57,Products_Master!B:B,Products_Master!D:D)</f>
        <v>70000</v>
      </c>
    </row>
    <row r="58" spans="1:16" x14ac:dyDescent="0.35">
      <c r="A58" t="s">
        <v>90</v>
      </c>
      <c r="B58" s="5">
        <v>45357</v>
      </c>
      <c r="C58" s="2" t="str">
        <f t="shared" si="0"/>
        <v>March</v>
      </c>
      <c r="D58" s="2" t="str">
        <f t="shared" si="1"/>
        <v>2024</v>
      </c>
      <c r="E58" t="s">
        <v>42</v>
      </c>
      <c r="F58" t="s">
        <v>13</v>
      </c>
      <c r="G58" t="s">
        <v>24</v>
      </c>
      <c r="H58" t="s">
        <v>40</v>
      </c>
      <c r="I58">
        <v>9</v>
      </c>
      <c r="J58">
        <v>85000</v>
      </c>
      <c r="K58">
        <v>0</v>
      </c>
      <c r="L58">
        <v>765000</v>
      </c>
      <c r="M58" s="7">
        <v>765000</v>
      </c>
      <c r="N58" s="19">
        <f t="shared" si="2"/>
        <v>6879600</v>
      </c>
      <c r="O58" t="str">
        <f t="shared" si="3"/>
        <v>Normal</v>
      </c>
      <c r="P58">
        <f>_xlfn.XLOOKUP(E58,Products_Master!B:B,Products_Master!D:D)</f>
        <v>600</v>
      </c>
    </row>
    <row r="59" spans="1:16" x14ac:dyDescent="0.35">
      <c r="A59" t="s">
        <v>91</v>
      </c>
      <c r="B59" s="5">
        <v>45357</v>
      </c>
      <c r="C59" s="2" t="str">
        <f t="shared" si="0"/>
        <v>March</v>
      </c>
      <c r="D59" s="2" t="str">
        <f t="shared" si="1"/>
        <v>2024</v>
      </c>
      <c r="E59" t="s">
        <v>27</v>
      </c>
      <c r="F59" t="s">
        <v>13</v>
      </c>
      <c r="G59" t="s">
        <v>37</v>
      </c>
      <c r="H59" t="s">
        <v>49</v>
      </c>
      <c r="I59">
        <v>4</v>
      </c>
      <c r="J59">
        <v>45000</v>
      </c>
      <c r="K59">
        <v>15</v>
      </c>
      <c r="L59">
        <v>180000</v>
      </c>
      <c r="M59" s="7">
        <v>153000</v>
      </c>
      <c r="N59" s="19">
        <f t="shared" si="2"/>
        <v>608400</v>
      </c>
      <c r="O59" t="str">
        <f t="shared" si="3"/>
        <v>Normal</v>
      </c>
      <c r="P59">
        <f>_xlfn.XLOOKUP(E59,Products_Master!B:B,Products_Master!D:D)</f>
        <v>900</v>
      </c>
    </row>
    <row r="60" spans="1:16" x14ac:dyDescent="0.35">
      <c r="A60" t="s">
        <v>92</v>
      </c>
      <c r="B60" s="5">
        <v>45359</v>
      </c>
      <c r="C60" s="2" t="str">
        <f t="shared" si="0"/>
        <v>March</v>
      </c>
      <c r="D60" s="2" t="str">
        <f t="shared" si="1"/>
        <v>2024</v>
      </c>
      <c r="E60" t="s">
        <v>12</v>
      </c>
      <c r="F60" t="s">
        <v>18</v>
      </c>
      <c r="G60" t="s">
        <v>37</v>
      </c>
      <c r="H60" t="s">
        <v>34</v>
      </c>
      <c r="I60">
        <v>6</v>
      </c>
      <c r="J60">
        <v>2500</v>
      </c>
      <c r="K60">
        <v>5</v>
      </c>
      <c r="L60">
        <v>15000</v>
      </c>
      <c r="M60" s="7">
        <v>14250</v>
      </c>
      <c r="N60" s="19">
        <f t="shared" si="2"/>
        <v>-124500</v>
      </c>
      <c r="O60" t="str">
        <f t="shared" si="3"/>
        <v>Normal</v>
      </c>
      <c r="P60">
        <f>_xlfn.XLOOKUP(E60,Products_Master!B:B,Products_Master!D:D)</f>
        <v>35000</v>
      </c>
    </row>
    <row r="61" spans="1:16" x14ac:dyDescent="0.35">
      <c r="A61" t="s">
        <v>93</v>
      </c>
      <c r="B61" s="5">
        <v>45361</v>
      </c>
      <c r="C61" s="2" t="str">
        <f t="shared" si="0"/>
        <v>March</v>
      </c>
      <c r="D61" s="2" t="str">
        <f t="shared" si="1"/>
        <v>2024</v>
      </c>
      <c r="E61" t="s">
        <v>42</v>
      </c>
      <c r="F61" t="s">
        <v>18</v>
      </c>
      <c r="G61" t="s">
        <v>21</v>
      </c>
      <c r="H61" t="s">
        <v>29</v>
      </c>
      <c r="I61">
        <v>8</v>
      </c>
      <c r="J61">
        <v>85000</v>
      </c>
      <c r="K61">
        <v>15</v>
      </c>
      <c r="L61">
        <v>680000</v>
      </c>
      <c r="M61" s="7">
        <v>578000</v>
      </c>
      <c r="N61" s="19">
        <f t="shared" si="2"/>
        <v>4619200</v>
      </c>
      <c r="O61" t="str">
        <f t="shared" si="3"/>
        <v>Normal</v>
      </c>
      <c r="P61">
        <f>_xlfn.XLOOKUP(E61,Products_Master!B:B,Products_Master!D:D)</f>
        <v>600</v>
      </c>
    </row>
    <row r="62" spans="1:16" x14ac:dyDescent="0.35">
      <c r="A62" t="s">
        <v>94</v>
      </c>
      <c r="B62" s="5">
        <v>45361</v>
      </c>
      <c r="C62" s="2" t="str">
        <f t="shared" si="0"/>
        <v>March</v>
      </c>
      <c r="D62" s="2" t="str">
        <f t="shared" si="1"/>
        <v>2024</v>
      </c>
      <c r="E62" t="s">
        <v>27</v>
      </c>
      <c r="F62" t="s">
        <v>18</v>
      </c>
      <c r="G62" t="s">
        <v>19</v>
      </c>
      <c r="H62" t="s">
        <v>49</v>
      </c>
      <c r="I62">
        <v>8</v>
      </c>
      <c r="J62">
        <v>8000</v>
      </c>
      <c r="K62">
        <v>15</v>
      </c>
      <c r="L62">
        <v>64000</v>
      </c>
      <c r="M62" s="7">
        <v>54400</v>
      </c>
      <c r="N62" s="19">
        <f t="shared" si="2"/>
        <v>428000</v>
      </c>
      <c r="O62" t="str">
        <f t="shared" si="3"/>
        <v>Normal</v>
      </c>
      <c r="P62">
        <f>_xlfn.XLOOKUP(E62,Products_Master!B:B,Products_Master!D:D)</f>
        <v>900</v>
      </c>
    </row>
    <row r="63" spans="1:16" x14ac:dyDescent="0.35">
      <c r="A63" t="s">
        <v>95</v>
      </c>
      <c r="B63" s="5">
        <v>45362</v>
      </c>
      <c r="C63" s="2" t="str">
        <f t="shared" si="0"/>
        <v>March</v>
      </c>
      <c r="D63" s="2" t="str">
        <f t="shared" si="1"/>
        <v>2024</v>
      </c>
      <c r="E63" t="s">
        <v>54</v>
      </c>
      <c r="F63" t="s">
        <v>18</v>
      </c>
      <c r="G63" t="s">
        <v>21</v>
      </c>
      <c r="H63" t="s">
        <v>29</v>
      </c>
      <c r="I63">
        <v>8</v>
      </c>
      <c r="J63">
        <v>2500</v>
      </c>
      <c r="K63">
        <v>10</v>
      </c>
      <c r="L63">
        <v>20000</v>
      </c>
      <c r="M63" s="7">
        <v>18000</v>
      </c>
      <c r="N63" s="19">
        <f t="shared" si="2"/>
        <v>-416000</v>
      </c>
      <c r="O63" t="str">
        <f t="shared" si="3"/>
        <v>Normal</v>
      </c>
      <c r="P63">
        <f>_xlfn.XLOOKUP(E63,Products_Master!B:B,Products_Master!D:D)</f>
        <v>70000</v>
      </c>
    </row>
    <row r="64" spans="1:16" x14ac:dyDescent="0.35">
      <c r="A64" t="s">
        <v>96</v>
      </c>
      <c r="B64" s="5">
        <v>45362</v>
      </c>
      <c r="C64" s="2" t="str">
        <f t="shared" si="0"/>
        <v>March</v>
      </c>
      <c r="D64" s="2" t="str">
        <f t="shared" si="1"/>
        <v>2024</v>
      </c>
      <c r="E64" t="s">
        <v>27</v>
      </c>
      <c r="F64" t="s">
        <v>13</v>
      </c>
      <c r="G64" t="s">
        <v>37</v>
      </c>
      <c r="H64" t="s">
        <v>49</v>
      </c>
      <c r="I64">
        <v>5</v>
      </c>
      <c r="J64">
        <v>120000</v>
      </c>
      <c r="K64">
        <v>0</v>
      </c>
      <c r="L64">
        <v>600000</v>
      </c>
      <c r="M64" s="7">
        <v>600000</v>
      </c>
      <c r="N64" s="19">
        <f t="shared" si="2"/>
        <v>2995500</v>
      </c>
      <c r="O64" t="str">
        <f t="shared" si="3"/>
        <v>Normal</v>
      </c>
      <c r="P64">
        <f>_xlfn.XLOOKUP(E64,Products_Master!B:B,Products_Master!D:D)</f>
        <v>900</v>
      </c>
    </row>
    <row r="65" spans="1:16" x14ac:dyDescent="0.35">
      <c r="A65" t="s">
        <v>97</v>
      </c>
      <c r="B65" s="5">
        <v>45362</v>
      </c>
      <c r="C65" s="2" t="str">
        <f t="shared" si="0"/>
        <v>March</v>
      </c>
      <c r="D65" s="2" t="str">
        <f t="shared" si="1"/>
        <v>2024</v>
      </c>
      <c r="E65" t="s">
        <v>17</v>
      </c>
      <c r="F65" t="s">
        <v>13</v>
      </c>
      <c r="G65" t="s">
        <v>19</v>
      </c>
      <c r="H65" t="s">
        <v>25</v>
      </c>
      <c r="I65">
        <v>7</v>
      </c>
      <c r="J65">
        <v>85000</v>
      </c>
      <c r="K65">
        <v>0</v>
      </c>
      <c r="L65">
        <v>595000</v>
      </c>
      <c r="M65" s="7">
        <v>595000</v>
      </c>
      <c r="N65" s="19">
        <f t="shared" si="2"/>
        <v>4151000</v>
      </c>
      <c r="O65" t="str">
        <f t="shared" si="3"/>
        <v>Normal</v>
      </c>
      <c r="P65">
        <f>_xlfn.XLOOKUP(E65,Products_Master!B:B,Products_Master!D:D)</f>
        <v>2000</v>
      </c>
    </row>
    <row r="66" spans="1:16" x14ac:dyDescent="0.35">
      <c r="A66" t="s">
        <v>98</v>
      </c>
      <c r="B66" s="5">
        <v>45363</v>
      </c>
      <c r="C66" s="2" t="str">
        <f t="shared" si="0"/>
        <v>March</v>
      </c>
      <c r="D66" s="2" t="str">
        <f t="shared" si="1"/>
        <v>2024</v>
      </c>
      <c r="E66" t="s">
        <v>17</v>
      </c>
      <c r="F66" t="s">
        <v>13</v>
      </c>
      <c r="G66" t="s">
        <v>39</v>
      </c>
      <c r="H66" t="s">
        <v>49</v>
      </c>
      <c r="I66">
        <v>1</v>
      </c>
      <c r="J66">
        <v>85000</v>
      </c>
      <c r="K66">
        <v>10</v>
      </c>
      <c r="L66">
        <v>85000</v>
      </c>
      <c r="M66" s="7">
        <v>76500</v>
      </c>
      <c r="N66" s="19">
        <f t="shared" si="2"/>
        <v>74500</v>
      </c>
      <c r="O66" t="str">
        <f t="shared" si="3"/>
        <v>Normal</v>
      </c>
      <c r="P66">
        <f>_xlfn.XLOOKUP(E66,Products_Master!B:B,Products_Master!D:D)</f>
        <v>2000</v>
      </c>
    </row>
    <row r="67" spans="1:16" x14ac:dyDescent="0.35">
      <c r="A67" t="s">
        <v>99</v>
      </c>
      <c r="B67" s="5">
        <v>45363</v>
      </c>
      <c r="C67" s="2" t="str">
        <f t="shared" ref="C67:C130" si="4">TEXT(B67,"MMMM")</f>
        <v>March</v>
      </c>
      <c r="D67" s="2" t="str">
        <f t="shared" ref="D67:D130" si="5">TEXT(B67,"yyy")</f>
        <v>2024</v>
      </c>
      <c r="E67" t="s">
        <v>27</v>
      </c>
      <c r="F67" t="s">
        <v>18</v>
      </c>
      <c r="G67" t="s">
        <v>37</v>
      </c>
      <c r="H67" t="s">
        <v>29</v>
      </c>
      <c r="I67">
        <v>9</v>
      </c>
      <c r="J67">
        <v>85000</v>
      </c>
      <c r="K67">
        <v>5</v>
      </c>
      <c r="L67">
        <v>765000</v>
      </c>
      <c r="M67" s="7">
        <v>726750</v>
      </c>
      <c r="N67" s="19">
        <f t="shared" ref="N67:N130" si="6">(M67-P67)*I67</f>
        <v>6532650</v>
      </c>
      <c r="O67" t="str">
        <f t="shared" ref="O67:O130" si="7">IF(K67=15%,"Very High ",IF(K67=10%,"High Discount","Normal"))</f>
        <v>Normal</v>
      </c>
      <c r="P67">
        <f>_xlfn.XLOOKUP(E67,Products_Master!B:B,Products_Master!D:D)</f>
        <v>900</v>
      </c>
    </row>
    <row r="68" spans="1:16" x14ac:dyDescent="0.35">
      <c r="A68" t="s">
        <v>100</v>
      </c>
      <c r="B68" s="5">
        <v>45363</v>
      </c>
      <c r="C68" s="2" t="str">
        <f t="shared" si="4"/>
        <v>March</v>
      </c>
      <c r="D68" s="2" t="str">
        <f t="shared" si="5"/>
        <v>2024</v>
      </c>
      <c r="E68" t="s">
        <v>54</v>
      </c>
      <c r="F68" t="s">
        <v>18</v>
      </c>
      <c r="G68" t="s">
        <v>21</v>
      </c>
      <c r="H68" t="s">
        <v>40</v>
      </c>
      <c r="I68">
        <v>5</v>
      </c>
      <c r="J68">
        <v>1500</v>
      </c>
      <c r="K68">
        <v>15</v>
      </c>
      <c r="L68">
        <v>7500</v>
      </c>
      <c r="M68" s="7">
        <v>6375</v>
      </c>
      <c r="N68" s="19">
        <f t="shared" si="6"/>
        <v>-318125</v>
      </c>
      <c r="O68" t="str">
        <f t="shared" si="7"/>
        <v>Normal</v>
      </c>
      <c r="P68">
        <f>_xlfn.XLOOKUP(E68,Products_Master!B:B,Products_Master!D:D)</f>
        <v>70000</v>
      </c>
    </row>
    <row r="69" spans="1:16" x14ac:dyDescent="0.35">
      <c r="A69" t="s">
        <v>101</v>
      </c>
      <c r="B69" s="5">
        <v>45364</v>
      </c>
      <c r="C69" s="2" t="str">
        <f t="shared" si="4"/>
        <v>March</v>
      </c>
      <c r="D69" s="2" t="str">
        <f t="shared" si="5"/>
        <v>2024</v>
      </c>
      <c r="E69" t="s">
        <v>12</v>
      </c>
      <c r="F69" t="s">
        <v>13</v>
      </c>
      <c r="G69" t="s">
        <v>24</v>
      </c>
      <c r="H69" t="s">
        <v>29</v>
      </c>
      <c r="I69">
        <v>1</v>
      </c>
      <c r="J69">
        <v>85000</v>
      </c>
      <c r="K69">
        <v>5</v>
      </c>
      <c r="L69">
        <v>85000</v>
      </c>
      <c r="M69" s="7">
        <v>80750</v>
      </c>
      <c r="N69" s="19">
        <f t="shared" si="6"/>
        <v>45750</v>
      </c>
      <c r="O69" t="str">
        <f t="shared" si="7"/>
        <v>Normal</v>
      </c>
      <c r="P69">
        <f>_xlfn.XLOOKUP(E69,Products_Master!B:B,Products_Master!D:D)</f>
        <v>35000</v>
      </c>
    </row>
    <row r="70" spans="1:16" x14ac:dyDescent="0.35">
      <c r="A70" t="s">
        <v>102</v>
      </c>
      <c r="B70" s="5">
        <v>45364</v>
      </c>
      <c r="C70" s="2" t="str">
        <f t="shared" si="4"/>
        <v>March</v>
      </c>
      <c r="D70" s="2" t="str">
        <f t="shared" si="5"/>
        <v>2024</v>
      </c>
      <c r="E70" t="s">
        <v>31</v>
      </c>
      <c r="F70" t="s">
        <v>13</v>
      </c>
      <c r="G70" t="s">
        <v>19</v>
      </c>
      <c r="H70" t="s">
        <v>25</v>
      </c>
      <c r="I70">
        <v>8</v>
      </c>
      <c r="J70">
        <v>15000</v>
      </c>
      <c r="K70">
        <v>0</v>
      </c>
      <c r="L70">
        <v>120000</v>
      </c>
      <c r="M70" s="7">
        <v>120000</v>
      </c>
      <c r="N70" s="19">
        <f t="shared" si="6"/>
        <v>840000</v>
      </c>
      <c r="O70" t="str">
        <f t="shared" si="7"/>
        <v>Normal</v>
      </c>
      <c r="P70">
        <f>_xlfn.XLOOKUP(E70,Products_Master!B:B,Products_Master!D:D)</f>
        <v>15000</v>
      </c>
    </row>
    <row r="71" spans="1:16" x14ac:dyDescent="0.35">
      <c r="A71" t="s">
        <v>103</v>
      </c>
      <c r="B71" s="5">
        <v>45365</v>
      </c>
      <c r="C71" s="2" t="str">
        <f t="shared" si="4"/>
        <v>March</v>
      </c>
      <c r="D71" s="2" t="str">
        <f t="shared" si="5"/>
        <v>2024</v>
      </c>
      <c r="E71" t="s">
        <v>23</v>
      </c>
      <c r="F71" t="s">
        <v>18</v>
      </c>
      <c r="G71" t="s">
        <v>39</v>
      </c>
      <c r="H71" t="s">
        <v>34</v>
      </c>
      <c r="I71">
        <v>7</v>
      </c>
      <c r="J71">
        <v>8000</v>
      </c>
      <c r="K71">
        <v>10</v>
      </c>
      <c r="L71">
        <v>56000</v>
      </c>
      <c r="M71" s="7">
        <v>50400</v>
      </c>
      <c r="N71" s="19">
        <f t="shared" si="6"/>
        <v>226800</v>
      </c>
      <c r="O71" t="str">
        <f t="shared" si="7"/>
        <v>Normal</v>
      </c>
      <c r="P71">
        <f>_xlfn.XLOOKUP(E71,Products_Master!B:B,Products_Master!D:D)</f>
        <v>18000</v>
      </c>
    </row>
    <row r="72" spans="1:16" x14ac:dyDescent="0.35">
      <c r="A72" t="s">
        <v>104</v>
      </c>
      <c r="B72" s="5">
        <v>45366</v>
      </c>
      <c r="C72" s="2" t="str">
        <f t="shared" si="4"/>
        <v>March</v>
      </c>
      <c r="D72" s="2" t="str">
        <f t="shared" si="5"/>
        <v>2024</v>
      </c>
      <c r="E72" t="s">
        <v>12</v>
      </c>
      <c r="F72" t="s">
        <v>13</v>
      </c>
      <c r="G72" t="s">
        <v>21</v>
      </c>
      <c r="H72" t="s">
        <v>49</v>
      </c>
      <c r="I72">
        <v>3</v>
      </c>
      <c r="J72">
        <v>120000</v>
      </c>
      <c r="K72">
        <v>10</v>
      </c>
      <c r="L72">
        <v>360000</v>
      </c>
      <c r="M72" s="7">
        <v>324000</v>
      </c>
      <c r="N72" s="19">
        <f t="shared" si="6"/>
        <v>867000</v>
      </c>
      <c r="O72" t="str">
        <f t="shared" si="7"/>
        <v>Normal</v>
      </c>
      <c r="P72">
        <f>_xlfn.XLOOKUP(E72,Products_Master!B:B,Products_Master!D:D)</f>
        <v>35000</v>
      </c>
    </row>
    <row r="73" spans="1:16" x14ac:dyDescent="0.35">
      <c r="A73" t="s">
        <v>105</v>
      </c>
      <c r="B73" s="5">
        <v>45366</v>
      </c>
      <c r="C73" s="2" t="str">
        <f t="shared" si="4"/>
        <v>March</v>
      </c>
      <c r="D73" s="2" t="str">
        <f t="shared" si="5"/>
        <v>2024</v>
      </c>
      <c r="E73" t="s">
        <v>36</v>
      </c>
      <c r="F73" t="s">
        <v>13</v>
      </c>
      <c r="G73" t="s">
        <v>21</v>
      </c>
      <c r="H73" t="s">
        <v>25</v>
      </c>
      <c r="I73">
        <v>9</v>
      </c>
      <c r="J73">
        <v>120000</v>
      </c>
      <c r="K73">
        <v>0</v>
      </c>
      <c r="L73">
        <v>1080000</v>
      </c>
      <c r="M73" s="7">
        <v>1080000</v>
      </c>
      <c r="N73" s="19">
        <f t="shared" si="6"/>
        <v>9712800</v>
      </c>
      <c r="O73" t="str">
        <f t="shared" si="7"/>
        <v>Normal</v>
      </c>
      <c r="P73">
        <f>_xlfn.XLOOKUP(E73,Products_Master!B:B,Products_Master!D:D)</f>
        <v>800</v>
      </c>
    </row>
    <row r="74" spans="1:16" x14ac:dyDescent="0.35">
      <c r="A74" t="s">
        <v>106</v>
      </c>
      <c r="B74" s="5">
        <v>45367</v>
      </c>
      <c r="C74" s="2" t="str">
        <f t="shared" si="4"/>
        <v>March</v>
      </c>
      <c r="D74" s="2" t="str">
        <f t="shared" si="5"/>
        <v>2024</v>
      </c>
      <c r="E74" t="s">
        <v>23</v>
      </c>
      <c r="F74" t="s">
        <v>13</v>
      </c>
      <c r="G74" t="s">
        <v>37</v>
      </c>
      <c r="H74" t="s">
        <v>25</v>
      </c>
      <c r="I74">
        <v>8</v>
      </c>
      <c r="J74">
        <v>8000</v>
      </c>
      <c r="K74">
        <v>15</v>
      </c>
      <c r="L74">
        <v>64000</v>
      </c>
      <c r="M74" s="7">
        <v>54400</v>
      </c>
      <c r="N74" s="19">
        <f t="shared" si="6"/>
        <v>291200</v>
      </c>
      <c r="O74" t="str">
        <f t="shared" si="7"/>
        <v>Normal</v>
      </c>
      <c r="P74">
        <f>_xlfn.XLOOKUP(E74,Products_Master!B:B,Products_Master!D:D)</f>
        <v>18000</v>
      </c>
    </row>
    <row r="75" spans="1:16" x14ac:dyDescent="0.35">
      <c r="A75" t="s">
        <v>107</v>
      </c>
      <c r="B75" s="5">
        <v>45369</v>
      </c>
      <c r="C75" s="2" t="str">
        <f t="shared" si="4"/>
        <v>March</v>
      </c>
      <c r="D75" s="2" t="str">
        <f t="shared" si="5"/>
        <v>2024</v>
      </c>
      <c r="E75" t="s">
        <v>36</v>
      </c>
      <c r="F75" t="s">
        <v>13</v>
      </c>
      <c r="G75" t="s">
        <v>39</v>
      </c>
      <c r="H75" t="s">
        <v>34</v>
      </c>
      <c r="I75">
        <v>8</v>
      </c>
      <c r="J75">
        <v>2500</v>
      </c>
      <c r="K75">
        <v>0</v>
      </c>
      <c r="L75">
        <v>20000</v>
      </c>
      <c r="M75" s="7">
        <v>20000</v>
      </c>
      <c r="N75" s="19">
        <f t="shared" si="6"/>
        <v>153600</v>
      </c>
      <c r="O75" t="str">
        <f t="shared" si="7"/>
        <v>Normal</v>
      </c>
      <c r="P75">
        <f>_xlfn.XLOOKUP(E75,Products_Master!B:B,Products_Master!D:D)</f>
        <v>800</v>
      </c>
    </row>
    <row r="76" spans="1:16" x14ac:dyDescent="0.35">
      <c r="A76" t="s">
        <v>108</v>
      </c>
      <c r="B76" s="5">
        <v>45369</v>
      </c>
      <c r="C76" s="2" t="str">
        <f t="shared" si="4"/>
        <v>March</v>
      </c>
      <c r="D76" s="2" t="str">
        <f t="shared" si="5"/>
        <v>2024</v>
      </c>
      <c r="E76" t="s">
        <v>27</v>
      </c>
      <c r="F76" t="s">
        <v>18</v>
      </c>
      <c r="G76" t="s">
        <v>37</v>
      </c>
      <c r="H76" t="s">
        <v>29</v>
      </c>
      <c r="I76">
        <v>9</v>
      </c>
      <c r="J76">
        <v>85000</v>
      </c>
      <c r="K76">
        <v>5</v>
      </c>
      <c r="L76">
        <v>765000</v>
      </c>
      <c r="M76" s="7">
        <v>726750</v>
      </c>
      <c r="N76" s="19">
        <f t="shared" si="6"/>
        <v>6532650</v>
      </c>
      <c r="O76" t="str">
        <f t="shared" si="7"/>
        <v>Normal</v>
      </c>
      <c r="P76">
        <f>_xlfn.XLOOKUP(E76,Products_Master!B:B,Products_Master!D:D)</f>
        <v>900</v>
      </c>
    </row>
    <row r="77" spans="1:16" x14ac:dyDescent="0.35">
      <c r="A77" t="s">
        <v>109</v>
      </c>
      <c r="B77" s="5">
        <v>45371</v>
      </c>
      <c r="C77" s="2" t="str">
        <f t="shared" si="4"/>
        <v>March</v>
      </c>
      <c r="D77" s="2" t="str">
        <f t="shared" si="5"/>
        <v>2024</v>
      </c>
      <c r="E77" t="s">
        <v>36</v>
      </c>
      <c r="F77" t="s">
        <v>18</v>
      </c>
      <c r="G77" t="s">
        <v>24</v>
      </c>
      <c r="H77" t="s">
        <v>40</v>
      </c>
      <c r="I77">
        <v>4</v>
      </c>
      <c r="J77">
        <v>1500</v>
      </c>
      <c r="K77">
        <v>15</v>
      </c>
      <c r="L77">
        <v>6000</v>
      </c>
      <c r="M77" s="7">
        <v>5100</v>
      </c>
      <c r="N77" s="19">
        <f t="shared" si="6"/>
        <v>17200</v>
      </c>
      <c r="O77" t="str">
        <f t="shared" si="7"/>
        <v>Normal</v>
      </c>
      <c r="P77">
        <f>_xlfn.XLOOKUP(E77,Products_Master!B:B,Products_Master!D:D)</f>
        <v>800</v>
      </c>
    </row>
    <row r="78" spans="1:16" x14ac:dyDescent="0.35">
      <c r="A78" t="s">
        <v>110</v>
      </c>
      <c r="B78" s="5">
        <v>45372</v>
      </c>
      <c r="C78" s="2" t="str">
        <f t="shared" si="4"/>
        <v>March</v>
      </c>
      <c r="D78" s="2" t="str">
        <f t="shared" si="5"/>
        <v>2024</v>
      </c>
      <c r="E78" t="s">
        <v>23</v>
      </c>
      <c r="F78" t="s">
        <v>13</v>
      </c>
      <c r="G78" t="s">
        <v>37</v>
      </c>
      <c r="H78" t="s">
        <v>15</v>
      </c>
      <c r="I78">
        <v>6</v>
      </c>
      <c r="J78">
        <v>1500</v>
      </c>
      <c r="K78">
        <v>10</v>
      </c>
      <c r="L78">
        <v>9000</v>
      </c>
      <c r="M78" s="7">
        <v>8100</v>
      </c>
      <c r="N78" s="19">
        <f t="shared" si="6"/>
        <v>-59400</v>
      </c>
      <c r="O78" t="str">
        <f t="shared" si="7"/>
        <v>Normal</v>
      </c>
      <c r="P78">
        <f>_xlfn.XLOOKUP(E78,Products_Master!B:B,Products_Master!D:D)</f>
        <v>18000</v>
      </c>
    </row>
    <row r="79" spans="1:16" x14ac:dyDescent="0.35">
      <c r="A79" t="s">
        <v>111</v>
      </c>
      <c r="B79" s="5">
        <v>45372</v>
      </c>
      <c r="C79" s="2" t="str">
        <f t="shared" si="4"/>
        <v>March</v>
      </c>
      <c r="D79" s="2" t="str">
        <f t="shared" si="5"/>
        <v>2024</v>
      </c>
      <c r="E79" t="s">
        <v>54</v>
      </c>
      <c r="F79" t="s">
        <v>13</v>
      </c>
      <c r="G79" t="s">
        <v>21</v>
      </c>
      <c r="H79" t="s">
        <v>32</v>
      </c>
      <c r="I79">
        <v>7</v>
      </c>
      <c r="J79">
        <v>15000</v>
      </c>
      <c r="K79">
        <v>0</v>
      </c>
      <c r="L79">
        <v>105000</v>
      </c>
      <c r="M79" s="7">
        <v>105000</v>
      </c>
      <c r="N79" s="19">
        <f t="shared" si="6"/>
        <v>245000</v>
      </c>
      <c r="O79" t="str">
        <f t="shared" si="7"/>
        <v>Normal</v>
      </c>
      <c r="P79">
        <f>_xlfn.XLOOKUP(E79,Products_Master!B:B,Products_Master!D:D)</f>
        <v>70000</v>
      </c>
    </row>
    <row r="80" spans="1:16" x14ac:dyDescent="0.35">
      <c r="A80" t="s">
        <v>112</v>
      </c>
      <c r="B80" s="5">
        <v>45373</v>
      </c>
      <c r="C80" s="2" t="str">
        <f t="shared" si="4"/>
        <v>March</v>
      </c>
      <c r="D80" s="2" t="str">
        <f t="shared" si="5"/>
        <v>2024</v>
      </c>
      <c r="E80" t="s">
        <v>42</v>
      </c>
      <c r="F80" t="s">
        <v>18</v>
      </c>
      <c r="G80" t="s">
        <v>39</v>
      </c>
      <c r="H80" t="s">
        <v>15</v>
      </c>
      <c r="I80">
        <v>4</v>
      </c>
      <c r="J80">
        <v>85000</v>
      </c>
      <c r="K80">
        <v>0</v>
      </c>
      <c r="L80">
        <v>340000</v>
      </c>
      <c r="M80" s="7">
        <v>340000</v>
      </c>
      <c r="N80" s="19">
        <f t="shared" si="6"/>
        <v>1357600</v>
      </c>
      <c r="O80" t="str">
        <f t="shared" si="7"/>
        <v>Normal</v>
      </c>
      <c r="P80">
        <f>_xlfn.XLOOKUP(E80,Products_Master!B:B,Products_Master!D:D)</f>
        <v>600</v>
      </c>
    </row>
    <row r="81" spans="1:16" x14ac:dyDescent="0.35">
      <c r="A81" t="s">
        <v>113</v>
      </c>
      <c r="B81" s="5">
        <v>45374</v>
      </c>
      <c r="C81" s="2" t="str">
        <f t="shared" si="4"/>
        <v>March</v>
      </c>
      <c r="D81" s="2" t="str">
        <f t="shared" si="5"/>
        <v>2024</v>
      </c>
      <c r="E81" t="s">
        <v>17</v>
      </c>
      <c r="F81" t="s">
        <v>18</v>
      </c>
      <c r="G81" t="s">
        <v>14</v>
      </c>
      <c r="H81" t="s">
        <v>32</v>
      </c>
      <c r="I81">
        <v>7</v>
      </c>
      <c r="J81">
        <v>45000</v>
      </c>
      <c r="K81">
        <v>5</v>
      </c>
      <c r="L81">
        <v>315000</v>
      </c>
      <c r="M81" s="7">
        <v>299250</v>
      </c>
      <c r="N81" s="19">
        <f t="shared" si="6"/>
        <v>2080750</v>
      </c>
      <c r="O81" t="str">
        <f t="shared" si="7"/>
        <v>Normal</v>
      </c>
      <c r="P81">
        <f>_xlfn.XLOOKUP(E81,Products_Master!B:B,Products_Master!D:D)</f>
        <v>2000</v>
      </c>
    </row>
    <row r="82" spans="1:16" x14ac:dyDescent="0.35">
      <c r="A82" t="s">
        <v>114</v>
      </c>
      <c r="B82" s="5">
        <v>45374</v>
      </c>
      <c r="C82" s="2" t="str">
        <f t="shared" si="4"/>
        <v>March</v>
      </c>
      <c r="D82" s="2" t="str">
        <f t="shared" si="5"/>
        <v>2024</v>
      </c>
      <c r="E82" t="s">
        <v>54</v>
      </c>
      <c r="F82" t="s">
        <v>18</v>
      </c>
      <c r="G82" t="s">
        <v>14</v>
      </c>
      <c r="H82" t="s">
        <v>25</v>
      </c>
      <c r="I82">
        <v>8</v>
      </c>
      <c r="J82">
        <v>85000</v>
      </c>
      <c r="K82">
        <v>0</v>
      </c>
      <c r="L82">
        <v>680000</v>
      </c>
      <c r="M82" s="7">
        <v>680000</v>
      </c>
      <c r="N82" s="19">
        <f t="shared" si="6"/>
        <v>4880000</v>
      </c>
      <c r="O82" t="str">
        <f t="shared" si="7"/>
        <v>Normal</v>
      </c>
      <c r="P82">
        <f>_xlfn.XLOOKUP(E82,Products_Master!B:B,Products_Master!D:D)</f>
        <v>70000</v>
      </c>
    </row>
    <row r="83" spans="1:16" x14ac:dyDescent="0.35">
      <c r="A83" t="s">
        <v>115</v>
      </c>
      <c r="B83" s="5">
        <v>45375</v>
      </c>
      <c r="C83" s="2" t="str">
        <f t="shared" si="4"/>
        <v>March</v>
      </c>
      <c r="D83" s="2" t="str">
        <f t="shared" si="5"/>
        <v>2024</v>
      </c>
      <c r="E83" t="s">
        <v>54</v>
      </c>
      <c r="F83" t="s">
        <v>13</v>
      </c>
      <c r="G83" t="s">
        <v>24</v>
      </c>
      <c r="H83" t="s">
        <v>40</v>
      </c>
      <c r="I83">
        <v>2</v>
      </c>
      <c r="J83">
        <v>120000</v>
      </c>
      <c r="K83">
        <v>10</v>
      </c>
      <c r="L83">
        <v>240000</v>
      </c>
      <c r="M83" s="7">
        <v>216000</v>
      </c>
      <c r="N83" s="19">
        <f t="shared" si="6"/>
        <v>292000</v>
      </c>
      <c r="O83" t="str">
        <f t="shared" si="7"/>
        <v>Normal</v>
      </c>
      <c r="P83">
        <f>_xlfn.XLOOKUP(E83,Products_Master!B:B,Products_Master!D:D)</f>
        <v>70000</v>
      </c>
    </row>
    <row r="84" spans="1:16" x14ac:dyDescent="0.35">
      <c r="A84" t="s">
        <v>116</v>
      </c>
      <c r="B84" s="5">
        <v>45378</v>
      </c>
      <c r="C84" s="2" t="str">
        <f t="shared" si="4"/>
        <v>March</v>
      </c>
      <c r="D84" s="2" t="str">
        <f t="shared" si="5"/>
        <v>2024</v>
      </c>
      <c r="E84" t="s">
        <v>31</v>
      </c>
      <c r="F84" t="s">
        <v>18</v>
      </c>
      <c r="G84" t="s">
        <v>39</v>
      </c>
      <c r="H84" t="s">
        <v>32</v>
      </c>
      <c r="I84">
        <v>1</v>
      </c>
      <c r="J84">
        <v>120000</v>
      </c>
      <c r="K84">
        <v>5</v>
      </c>
      <c r="L84">
        <v>120000</v>
      </c>
      <c r="M84" s="7">
        <v>114000</v>
      </c>
      <c r="N84" s="19">
        <f t="shared" si="6"/>
        <v>99000</v>
      </c>
      <c r="O84" t="str">
        <f t="shared" si="7"/>
        <v>Normal</v>
      </c>
      <c r="P84">
        <f>_xlfn.XLOOKUP(E84,Products_Master!B:B,Products_Master!D:D)</f>
        <v>15000</v>
      </c>
    </row>
    <row r="85" spans="1:16" x14ac:dyDescent="0.35">
      <c r="A85" t="s">
        <v>117</v>
      </c>
      <c r="B85" s="5">
        <v>45379</v>
      </c>
      <c r="C85" s="2" t="str">
        <f t="shared" si="4"/>
        <v>March</v>
      </c>
      <c r="D85" s="2" t="str">
        <f t="shared" si="5"/>
        <v>2024</v>
      </c>
      <c r="E85" t="s">
        <v>54</v>
      </c>
      <c r="F85" t="s">
        <v>13</v>
      </c>
      <c r="G85" t="s">
        <v>21</v>
      </c>
      <c r="H85" t="s">
        <v>49</v>
      </c>
      <c r="I85">
        <v>3</v>
      </c>
      <c r="J85">
        <v>85000</v>
      </c>
      <c r="K85">
        <v>5</v>
      </c>
      <c r="L85">
        <v>255000</v>
      </c>
      <c r="M85" s="7">
        <v>242250</v>
      </c>
      <c r="N85" s="19">
        <f t="shared" si="6"/>
        <v>516750</v>
      </c>
      <c r="O85" t="str">
        <f t="shared" si="7"/>
        <v>Normal</v>
      </c>
      <c r="P85">
        <f>_xlfn.XLOOKUP(E85,Products_Master!B:B,Products_Master!D:D)</f>
        <v>70000</v>
      </c>
    </row>
    <row r="86" spans="1:16" x14ac:dyDescent="0.35">
      <c r="A86" t="s">
        <v>118</v>
      </c>
      <c r="B86" s="5">
        <v>45381</v>
      </c>
      <c r="C86" s="2" t="str">
        <f t="shared" si="4"/>
        <v>March</v>
      </c>
      <c r="D86" s="2" t="str">
        <f t="shared" si="5"/>
        <v>2024</v>
      </c>
      <c r="E86" t="s">
        <v>36</v>
      </c>
      <c r="F86" t="s">
        <v>13</v>
      </c>
      <c r="G86" t="s">
        <v>14</v>
      </c>
      <c r="H86" t="s">
        <v>49</v>
      </c>
      <c r="I86">
        <v>4</v>
      </c>
      <c r="J86">
        <v>8000</v>
      </c>
      <c r="K86">
        <v>0</v>
      </c>
      <c r="L86">
        <v>32000</v>
      </c>
      <c r="M86" s="7">
        <v>32000</v>
      </c>
      <c r="N86" s="19">
        <f t="shared" si="6"/>
        <v>124800</v>
      </c>
      <c r="O86" t="str">
        <f t="shared" si="7"/>
        <v>Normal</v>
      </c>
      <c r="P86">
        <f>_xlfn.XLOOKUP(E86,Products_Master!B:B,Products_Master!D:D)</f>
        <v>800</v>
      </c>
    </row>
    <row r="87" spans="1:16" x14ac:dyDescent="0.35">
      <c r="A87" t="s">
        <v>119</v>
      </c>
      <c r="B87" s="5">
        <v>45385</v>
      </c>
      <c r="C87" s="2" t="str">
        <f t="shared" si="4"/>
        <v>April</v>
      </c>
      <c r="D87" s="2" t="str">
        <f t="shared" si="5"/>
        <v>2024</v>
      </c>
      <c r="E87" t="s">
        <v>42</v>
      </c>
      <c r="F87" t="s">
        <v>18</v>
      </c>
      <c r="G87" t="s">
        <v>19</v>
      </c>
      <c r="H87" t="s">
        <v>29</v>
      </c>
      <c r="I87">
        <v>1</v>
      </c>
      <c r="J87">
        <v>15000</v>
      </c>
      <c r="K87">
        <v>0</v>
      </c>
      <c r="L87">
        <v>15000</v>
      </c>
      <c r="M87" s="7">
        <v>15000</v>
      </c>
      <c r="N87" s="19">
        <f t="shared" si="6"/>
        <v>14400</v>
      </c>
      <c r="O87" t="str">
        <f t="shared" si="7"/>
        <v>Normal</v>
      </c>
      <c r="P87">
        <f>_xlfn.XLOOKUP(E87,Products_Master!B:B,Products_Master!D:D)</f>
        <v>600</v>
      </c>
    </row>
    <row r="88" spans="1:16" x14ac:dyDescent="0.35">
      <c r="A88" t="s">
        <v>120</v>
      </c>
      <c r="B88" s="5">
        <v>45386</v>
      </c>
      <c r="C88" s="2" t="str">
        <f t="shared" si="4"/>
        <v>April</v>
      </c>
      <c r="D88" s="2" t="str">
        <f t="shared" si="5"/>
        <v>2024</v>
      </c>
      <c r="E88" t="s">
        <v>54</v>
      </c>
      <c r="F88" t="s">
        <v>13</v>
      </c>
      <c r="G88" t="s">
        <v>37</v>
      </c>
      <c r="H88" t="s">
        <v>15</v>
      </c>
      <c r="I88">
        <v>4</v>
      </c>
      <c r="J88">
        <v>85000</v>
      </c>
      <c r="K88">
        <v>0</v>
      </c>
      <c r="L88">
        <v>340000</v>
      </c>
      <c r="M88" s="7">
        <v>340000</v>
      </c>
      <c r="N88" s="19">
        <f t="shared" si="6"/>
        <v>1080000</v>
      </c>
      <c r="O88" t="str">
        <f t="shared" si="7"/>
        <v>Normal</v>
      </c>
      <c r="P88">
        <f>_xlfn.XLOOKUP(E88,Products_Master!B:B,Products_Master!D:D)</f>
        <v>70000</v>
      </c>
    </row>
    <row r="89" spans="1:16" x14ac:dyDescent="0.35">
      <c r="A89" t="s">
        <v>121</v>
      </c>
      <c r="B89" s="5">
        <v>45386</v>
      </c>
      <c r="C89" s="2" t="str">
        <f t="shared" si="4"/>
        <v>April</v>
      </c>
      <c r="D89" s="2" t="str">
        <f t="shared" si="5"/>
        <v>2024</v>
      </c>
      <c r="E89" t="s">
        <v>36</v>
      </c>
      <c r="F89" t="s">
        <v>13</v>
      </c>
      <c r="G89" t="s">
        <v>21</v>
      </c>
      <c r="H89" t="s">
        <v>25</v>
      </c>
      <c r="I89">
        <v>1</v>
      </c>
      <c r="J89">
        <v>8000</v>
      </c>
      <c r="K89">
        <v>0</v>
      </c>
      <c r="L89">
        <v>8000</v>
      </c>
      <c r="M89" s="7">
        <v>8000</v>
      </c>
      <c r="N89" s="19">
        <f t="shared" si="6"/>
        <v>7200</v>
      </c>
      <c r="O89" t="str">
        <f t="shared" si="7"/>
        <v>Normal</v>
      </c>
      <c r="P89">
        <f>_xlfn.XLOOKUP(E89,Products_Master!B:B,Products_Master!D:D)</f>
        <v>800</v>
      </c>
    </row>
    <row r="90" spans="1:16" x14ac:dyDescent="0.35">
      <c r="A90" t="s">
        <v>122</v>
      </c>
      <c r="B90" s="5">
        <v>45387</v>
      </c>
      <c r="C90" s="2" t="str">
        <f t="shared" si="4"/>
        <v>April</v>
      </c>
      <c r="D90" s="2" t="str">
        <f t="shared" si="5"/>
        <v>2024</v>
      </c>
      <c r="E90" t="s">
        <v>27</v>
      </c>
      <c r="F90" t="s">
        <v>18</v>
      </c>
      <c r="G90" t="s">
        <v>21</v>
      </c>
      <c r="H90" t="s">
        <v>29</v>
      </c>
      <c r="I90">
        <v>8</v>
      </c>
      <c r="J90">
        <v>120000</v>
      </c>
      <c r="K90">
        <v>0</v>
      </c>
      <c r="L90">
        <v>960000</v>
      </c>
      <c r="M90" s="7">
        <v>960000</v>
      </c>
      <c r="N90" s="19">
        <f t="shared" si="6"/>
        <v>7672800</v>
      </c>
      <c r="O90" t="str">
        <f t="shared" si="7"/>
        <v>Normal</v>
      </c>
      <c r="P90">
        <f>_xlfn.XLOOKUP(E90,Products_Master!B:B,Products_Master!D:D)</f>
        <v>900</v>
      </c>
    </row>
    <row r="91" spans="1:16" x14ac:dyDescent="0.35">
      <c r="A91" t="s">
        <v>123</v>
      </c>
      <c r="B91" s="5">
        <v>45387</v>
      </c>
      <c r="C91" s="2" t="str">
        <f t="shared" si="4"/>
        <v>April</v>
      </c>
      <c r="D91" s="2" t="str">
        <f t="shared" si="5"/>
        <v>2024</v>
      </c>
      <c r="E91" t="s">
        <v>27</v>
      </c>
      <c r="F91" t="s">
        <v>13</v>
      </c>
      <c r="G91" t="s">
        <v>21</v>
      </c>
      <c r="H91" t="s">
        <v>29</v>
      </c>
      <c r="I91">
        <v>4</v>
      </c>
      <c r="J91">
        <v>15000</v>
      </c>
      <c r="K91">
        <v>10</v>
      </c>
      <c r="L91">
        <v>60000</v>
      </c>
      <c r="M91" s="7">
        <v>54000</v>
      </c>
      <c r="N91" s="19">
        <f t="shared" si="6"/>
        <v>212400</v>
      </c>
      <c r="O91" t="str">
        <f t="shared" si="7"/>
        <v>Normal</v>
      </c>
      <c r="P91">
        <f>_xlfn.XLOOKUP(E91,Products_Master!B:B,Products_Master!D:D)</f>
        <v>900</v>
      </c>
    </row>
    <row r="92" spans="1:16" x14ac:dyDescent="0.35">
      <c r="A92" t="s">
        <v>124</v>
      </c>
      <c r="B92" s="5">
        <v>45387</v>
      </c>
      <c r="C92" s="2" t="str">
        <f t="shared" si="4"/>
        <v>April</v>
      </c>
      <c r="D92" s="2" t="str">
        <f t="shared" si="5"/>
        <v>2024</v>
      </c>
      <c r="E92" t="s">
        <v>42</v>
      </c>
      <c r="F92" t="s">
        <v>13</v>
      </c>
      <c r="G92" t="s">
        <v>14</v>
      </c>
      <c r="H92" t="s">
        <v>25</v>
      </c>
      <c r="I92">
        <v>3</v>
      </c>
      <c r="J92">
        <v>15000</v>
      </c>
      <c r="K92">
        <v>5</v>
      </c>
      <c r="L92">
        <v>45000</v>
      </c>
      <c r="M92" s="7">
        <v>42750</v>
      </c>
      <c r="N92" s="19">
        <f t="shared" si="6"/>
        <v>126450</v>
      </c>
      <c r="O92" t="str">
        <f t="shared" si="7"/>
        <v>Normal</v>
      </c>
      <c r="P92">
        <f>_xlfn.XLOOKUP(E92,Products_Master!B:B,Products_Master!D:D)</f>
        <v>600</v>
      </c>
    </row>
    <row r="93" spans="1:16" x14ac:dyDescent="0.35">
      <c r="A93" t="s">
        <v>125</v>
      </c>
      <c r="B93" s="5">
        <v>45388</v>
      </c>
      <c r="C93" s="2" t="str">
        <f t="shared" si="4"/>
        <v>April</v>
      </c>
      <c r="D93" s="2" t="str">
        <f t="shared" si="5"/>
        <v>2024</v>
      </c>
      <c r="E93" t="s">
        <v>42</v>
      </c>
      <c r="F93" t="s">
        <v>13</v>
      </c>
      <c r="G93" t="s">
        <v>24</v>
      </c>
      <c r="H93" t="s">
        <v>34</v>
      </c>
      <c r="I93">
        <v>1</v>
      </c>
      <c r="J93">
        <v>85000</v>
      </c>
      <c r="K93">
        <v>0</v>
      </c>
      <c r="L93">
        <v>85000</v>
      </c>
      <c r="M93" s="7">
        <v>85000</v>
      </c>
      <c r="N93" s="19">
        <f t="shared" si="6"/>
        <v>84400</v>
      </c>
      <c r="O93" t="str">
        <f t="shared" si="7"/>
        <v>Normal</v>
      </c>
      <c r="P93">
        <f>_xlfn.XLOOKUP(E93,Products_Master!B:B,Products_Master!D:D)</f>
        <v>600</v>
      </c>
    </row>
    <row r="94" spans="1:16" x14ac:dyDescent="0.35">
      <c r="A94" t="s">
        <v>126</v>
      </c>
      <c r="B94" s="5">
        <v>45391</v>
      </c>
      <c r="C94" s="2" t="str">
        <f t="shared" si="4"/>
        <v>April</v>
      </c>
      <c r="D94" s="2" t="str">
        <f t="shared" si="5"/>
        <v>2024</v>
      </c>
      <c r="E94" t="s">
        <v>23</v>
      </c>
      <c r="F94" t="s">
        <v>18</v>
      </c>
      <c r="G94" t="s">
        <v>37</v>
      </c>
      <c r="H94" t="s">
        <v>15</v>
      </c>
      <c r="I94">
        <v>1</v>
      </c>
      <c r="J94">
        <v>2500</v>
      </c>
      <c r="K94">
        <v>0</v>
      </c>
      <c r="L94">
        <v>2500</v>
      </c>
      <c r="M94" s="7">
        <v>2500</v>
      </c>
      <c r="N94" s="19">
        <f t="shared" si="6"/>
        <v>-15500</v>
      </c>
      <c r="O94" t="str">
        <f t="shared" si="7"/>
        <v>Normal</v>
      </c>
      <c r="P94">
        <f>_xlfn.XLOOKUP(E94,Products_Master!B:B,Products_Master!D:D)</f>
        <v>18000</v>
      </c>
    </row>
    <row r="95" spans="1:16" x14ac:dyDescent="0.35">
      <c r="A95" t="s">
        <v>127</v>
      </c>
      <c r="B95" s="5">
        <v>45391</v>
      </c>
      <c r="C95" s="2" t="str">
        <f t="shared" si="4"/>
        <v>April</v>
      </c>
      <c r="D95" s="2" t="str">
        <f t="shared" si="5"/>
        <v>2024</v>
      </c>
      <c r="E95" t="s">
        <v>17</v>
      </c>
      <c r="F95" t="s">
        <v>13</v>
      </c>
      <c r="G95" t="s">
        <v>37</v>
      </c>
      <c r="H95" t="s">
        <v>40</v>
      </c>
      <c r="I95">
        <v>8</v>
      </c>
      <c r="J95">
        <v>45000</v>
      </c>
      <c r="K95">
        <v>0</v>
      </c>
      <c r="L95">
        <v>360000</v>
      </c>
      <c r="M95" s="7">
        <v>360000</v>
      </c>
      <c r="N95" s="19">
        <f t="shared" si="6"/>
        <v>2864000</v>
      </c>
      <c r="O95" t="str">
        <f t="shared" si="7"/>
        <v>Normal</v>
      </c>
      <c r="P95">
        <f>_xlfn.XLOOKUP(E95,Products_Master!B:B,Products_Master!D:D)</f>
        <v>2000</v>
      </c>
    </row>
    <row r="96" spans="1:16" x14ac:dyDescent="0.35">
      <c r="A96" t="s">
        <v>128</v>
      </c>
      <c r="B96" s="5">
        <v>45392</v>
      </c>
      <c r="C96" s="2" t="str">
        <f t="shared" si="4"/>
        <v>April</v>
      </c>
      <c r="D96" s="2" t="str">
        <f t="shared" si="5"/>
        <v>2024</v>
      </c>
      <c r="E96" t="s">
        <v>17</v>
      </c>
      <c r="F96" t="s">
        <v>18</v>
      </c>
      <c r="G96" t="s">
        <v>37</v>
      </c>
      <c r="H96" t="s">
        <v>15</v>
      </c>
      <c r="I96">
        <v>2</v>
      </c>
      <c r="J96">
        <v>45000</v>
      </c>
      <c r="K96">
        <v>10</v>
      </c>
      <c r="L96">
        <v>90000</v>
      </c>
      <c r="M96" s="7">
        <v>81000</v>
      </c>
      <c r="N96" s="19">
        <f t="shared" si="6"/>
        <v>158000</v>
      </c>
      <c r="O96" t="str">
        <f t="shared" si="7"/>
        <v>Normal</v>
      </c>
      <c r="P96">
        <f>_xlfn.XLOOKUP(E96,Products_Master!B:B,Products_Master!D:D)</f>
        <v>2000</v>
      </c>
    </row>
    <row r="97" spans="1:16" x14ac:dyDescent="0.35">
      <c r="A97" t="s">
        <v>129</v>
      </c>
      <c r="B97" s="5">
        <v>45392</v>
      </c>
      <c r="C97" s="2" t="str">
        <f t="shared" si="4"/>
        <v>April</v>
      </c>
      <c r="D97" s="2" t="str">
        <f t="shared" si="5"/>
        <v>2024</v>
      </c>
      <c r="E97" t="s">
        <v>27</v>
      </c>
      <c r="F97" t="s">
        <v>18</v>
      </c>
      <c r="G97" t="s">
        <v>19</v>
      </c>
      <c r="H97" t="s">
        <v>34</v>
      </c>
      <c r="I97">
        <v>6</v>
      </c>
      <c r="J97">
        <v>85000</v>
      </c>
      <c r="K97">
        <v>10</v>
      </c>
      <c r="L97">
        <v>510000</v>
      </c>
      <c r="M97" s="7">
        <v>459000</v>
      </c>
      <c r="N97" s="19">
        <f t="shared" si="6"/>
        <v>2748600</v>
      </c>
      <c r="O97" t="str">
        <f t="shared" si="7"/>
        <v>Normal</v>
      </c>
      <c r="P97">
        <f>_xlfn.XLOOKUP(E97,Products_Master!B:B,Products_Master!D:D)</f>
        <v>900</v>
      </c>
    </row>
    <row r="98" spans="1:16" x14ac:dyDescent="0.35">
      <c r="A98" t="s">
        <v>130</v>
      </c>
      <c r="B98" s="5">
        <v>45394</v>
      </c>
      <c r="C98" s="2" t="str">
        <f t="shared" si="4"/>
        <v>April</v>
      </c>
      <c r="D98" s="2" t="str">
        <f t="shared" si="5"/>
        <v>2024</v>
      </c>
      <c r="E98" t="s">
        <v>27</v>
      </c>
      <c r="F98" t="s">
        <v>18</v>
      </c>
      <c r="G98" t="s">
        <v>19</v>
      </c>
      <c r="H98" t="s">
        <v>34</v>
      </c>
      <c r="I98">
        <v>2</v>
      </c>
      <c r="J98">
        <v>120000</v>
      </c>
      <c r="K98">
        <v>0</v>
      </c>
      <c r="L98">
        <v>240000</v>
      </c>
      <c r="M98" s="7">
        <v>240000</v>
      </c>
      <c r="N98" s="19">
        <f t="shared" si="6"/>
        <v>478200</v>
      </c>
      <c r="O98" t="str">
        <f t="shared" si="7"/>
        <v>Normal</v>
      </c>
      <c r="P98">
        <f>_xlfn.XLOOKUP(E98,Products_Master!B:B,Products_Master!D:D)</f>
        <v>900</v>
      </c>
    </row>
    <row r="99" spans="1:16" x14ac:dyDescent="0.35">
      <c r="A99" t="s">
        <v>131</v>
      </c>
      <c r="B99" s="5">
        <v>45395</v>
      </c>
      <c r="C99" s="2" t="str">
        <f t="shared" si="4"/>
        <v>April</v>
      </c>
      <c r="D99" s="2" t="str">
        <f t="shared" si="5"/>
        <v>2024</v>
      </c>
      <c r="E99" t="s">
        <v>27</v>
      </c>
      <c r="F99" t="s">
        <v>13</v>
      </c>
      <c r="G99" t="s">
        <v>19</v>
      </c>
      <c r="H99" t="s">
        <v>15</v>
      </c>
      <c r="I99">
        <v>7</v>
      </c>
      <c r="J99">
        <v>120000</v>
      </c>
      <c r="K99">
        <v>0</v>
      </c>
      <c r="L99">
        <v>840000</v>
      </c>
      <c r="M99" s="7">
        <v>840000</v>
      </c>
      <c r="N99" s="19">
        <f t="shared" si="6"/>
        <v>5873700</v>
      </c>
      <c r="O99" t="str">
        <f t="shared" si="7"/>
        <v>Normal</v>
      </c>
      <c r="P99">
        <f>_xlfn.XLOOKUP(E99,Products_Master!B:B,Products_Master!D:D)</f>
        <v>900</v>
      </c>
    </row>
    <row r="100" spans="1:16" x14ac:dyDescent="0.35">
      <c r="A100" t="s">
        <v>132</v>
      </c>
      <c r="B100" s="5">
        <v>45396</v>
      </c>
      <c r="C100" s="2" t="str">
        <f t="shared" si="4"/>
        <v>April</v>
      </c>
      <c r="D100" s="2" t="str">
        <f t="shared" si="5"/>
        <v>2024</v>
      </c>
      <c r="E100" t="s">
        <v>36</v>
      </c>
      <c r="F100" t="s">
        <v>18</v>
      </c>
      <c r="G100" t="s">
        <v>39</v>
      </c>
      <c r="H100" t="s">
        <v>32</v>
      </c>
      <c r="I100">
        <v>9</v>
      </c>
      <c r="J100">
        <v>1500</v>
      </c>
      <c r="K100">
        <v>5</v>
      </c>
      <c r="L100">
        <v>13500</v>
      </c>
      <c r="M100" s="7">
        <v>12825</v>
      </c>
      <c r="N100" s="19">
        <f t="shared" si="6"/>
        <v>108225</v>
      </c>
      <c r="O100" t="str">
        <f t="shared" si="7"/>
        <v>Normal</v>
      </c>
      <c r="P100">
        <f>_xlfn.XLOOKUP(E100,Products_Master!B:B,Products_Master!D:D)</f>
        <v>800</v>
      </c>
    </row>
    <row r="101" spans="1:16" x14ac:dyDescent="0.35">
      <c r="A101" t="s">
        <v>133</v>
      </c>
      <c r="B101" s="5">
        <v>45396</v>
      </c>
      <c r="C101" s="2" t="str">
        <f t="shared" si="4"/>
        <v>April</v>
      </c>
      <c r="D101" s="2" t="str">
        <f t="shared" si="5"/>
        <v>2024</v>
      </c>
      <c r="E101" t="s">
        <v>17</v>
      </c>
      <c r="F101" t="s">
        <v>18</v>
      </c>
      <c r="G101" t="s">
        <v>24</v>
      </c>
      <c r="H101" t="s">
        <v>25</v>
      </c>
      <c r="I101">
        <v>5</v>
      </c>
      <c r="J101">
        <v>2500</v>
      </c>
      <c r="K101">
        <v>0</v>
      </c>
      <c r="L101">
        <v>12500</v>
      </c>
      <c r="M101" s="7">
        <v>12500</v>
      </c>
      <c r="N101" s="19">
        <f t="shared" si="6"/>
        <v>52500</v>
      </c>
      <c r="O101" t="str">
        <f t="shared" si="7"/>
        <v>Normal</v>
      </c>
      <c r="P101">
        <f>_xlfn.XLOOKUP(E101,Products_Master!B:B,Products_Master!D:D)</f>
        <v>2000</v>
      </c>
    </row>
    <row r="102" spans="1:16" x14ac:dyDescent="0.35">
      <c r="A102" t="s">
        <v>134</v>
      </c>
      <c r="B102" s="5">
        <v>45397</v>
      </c>
      <c r="C102" s="2" t="str">
        <f t="shared" si="4"/>
        <v>April</v>
      </c>
      <c r="D102" s="2" t="str">
        <f t="shared" si="5"/>
        <v>2024</v>
      </c>
      <c r="E102" t="s">
        <v>27</v>
      </c>
      <c r="F102" t="s">
        <v>18</v>
      </c>
      <c r="G102" t="s">
        <v>19</v>
      </c>
      <c r="H102" t="s">
        <v>29</v>
      </c>
      <c r="I102">
        <v>4</v>
      </c>
      <c r="J102">
        <v>45000</v>
      </c>
      <c r="K102">
        <v>0</v>
      </c>
      <c r="L102">
        <v>180000</v>
      </c>
      <c r="M102" s="7">
        <v>180000</v>
      </c>
      <c r="N102" s="19">
        <f t="shared" si="6"/>
        <v>716400</v>
      </c>
      <c r="O102" t="str">
        <f t="shared" si="7"/>
        <v>Normal</v>
      </c>
      <c r="P102">
        <f>_xlfn.XLOOKUP(E102,Products_Master!B:B,Products_Master!D:D)</f>
        <v>900</v>
      </c>
    </row>
    <row r="103" spans="1:16" x14ac:dyDescent="0.35">
      <c r="A103" t="s">
        <v>135</v>
      </c>
      <c r="B103" s="5">
        <v>45398</v>
      </c>
      <c r="C103" s="2" t="str">
        <f t="shared" si="4"/>
        <v>April</v>
      </c>
      <c r="D103" s="2" t="str">
        <f t="shared" si="5"/>
        <v>2024</v>
      </c>
      <c r="E103" t="s">
        <v>12</v>
      </c>
      <c r="F103" t="s">
        <v>18</v>
      </c>
      <c r="G103" t="s">
        <v>37</v>
      </c>
      <c r="H103" t="s">
        <v>49</v>
      </c>
      <c r="I103">
        <v>7</v>
      </c>
      <c r="J103">
        <v>1500</v>
      </c>
      <c r="K103">
        <v>10</v>
      </c>
      <c r="L103">
        <v>10500</v>
      </c>
      <c r="M103" s="7">
        <v>9450</v>
      </c>
      <c r="N103" s="19">
        <f t="shared" si="6"/>
        <v>-178850</v>
      </c>
      <c r="O103" t="str">
        <f t="shared" si="7"/>
        <v>Normal</v>
      </c>
      <c r="P103">
        <f>_xlfn.XLOOKUP(E103,Products_Master!B:B,Products_Master!D:D)</f>
        <v>35000</v>
      </c>
    </row>
    <row r="104" spans="1:16" x14ac:dyDescent="0.35">
      <c r="A104" t="s">
        <v>136</v>
      </c>
      <c r="B104" s="5">
        <v>45400</v>
      </c>
      <c r="C104" s="2" t="str">
        <f t="shared" si="4"/>
        <v>April</v>
      </c>
      <c r="D104" s="2" t="str">
        <f t="shared" si="5"/>
        <v>2024</v>
      </c>
      <c r="E104" t="s">
        <v>36</v>
      </c>
      <c r="F104" t="s">
        <v>13</v>
      </c>
      <c r="G104" t="s">
        <v>39</v>
      </c>
      <c r="H104" t="s">
        <v>29</v>
      </c>
      <c r="I104">
        <v>5</v>
      </c>
      <c r="J104">
        <v>15000</v>
      </c>
      <c r="K104">
        <v>0</v>
      </c>
      <c r="L104">
        <v>75000</v>
      </c>
      <c r="M104" s="7">
        <v>75000</v>
      </c>
      <c r="N104" s="19">
        <f t="shared" si="6"/>
        <v>371000</v>
      </c>
      <c r="O104" t="str">
        <f t="shared" si="7"/>
        <v>Normal</v>
      </c>
      <c r="P104">
        <f>_xlfn.XLOOKUP(E104,Products_Master!B:B,Products_Master!D:D)</f>
        <v>800</v>
      </c>
    </row>
    <row r="105" spans="1:16" x14ac:dyDescent="0.35">
      <c r="A105" t="s">
        <v>137</v>
      </c>
      <c r="B105" s="5">
        <v>45401</v>
      </c>
      <c r="C105" s="2" t="str">
        <f t="shared" si="4"/>
        <v>April</v>
      </c>
      <c r="D105" s="2" t="str">
        <f t="shared" si="5"/>
        <v>2024</v>
      </c>
      <c r="E105" t="s">
        <v>54</v>
      </c>
      <c r="F105" t="s">
        <v>18</v>
      </c>
      <c r="G105" t="s">
        <v>39</v>
      </c>
      <c r="H105" t="s">
        <v>32</v>
      </c>
      <c r="I105">
        <v>7</v>
      </c>
      <c r="J105">
        <v>15000</v>
      </c>
      <c r="K105">
        <v>0</v>
      </c>
      <c r="L105">
        <v>105000</v>
      </c>
      <c r="M105" s="7">
        <v>105000</v>
      </c>
      <c r="N105" s="19">
        <f t="shared" si="6"/>
        <v>245000</v>
      </c>
      <c r="O105" t="str">
        <f t="shared" si="7"/>
        <v>Normal</v>
      </c>
      <c r="P105">
        <f>_xlfn.XLOOKUP(E105,Products_Master!B:B,Products_Master!D:D)</f>
        <v>70000</v>
      </c>
    </row>
    <row r="106" spans="1:16" x14ac:dyDescent="0.35">
      <c r="A106" t="s">
        <v>138</v>
      </c>
      <c r="B106" s="5">
        <v>45401</v>
      </c>
      <c r="C106" s="2" t="str">
        <f t="shared" si="4"/>
        <v>April</v>
      </c>
      <c r="D106" s="2" t="str">
        <f t="shared" si="5"/>
        <v>2024</v>
      </c>
      <c r="E106" t="s">
        <v>54</v>
      </c>
      <c r="F106" t="s">
        <v>18</v>
      </c>
      <c r="G106" t="s">
        <v>21</v>
      </c>
      <c r="H106" t="s">
        <v>32</v>
      </c>
      <c r="I106">
        <v>7</v>
      </c>
      <c r="J106">
        <v>1500</v>
      </c>
      <c r="K106">
        <v>0</v>
      </c>
      <c r="L106">
        <v>10500</v>
      </c>
      <c r="M106" s="7">
        <v>10500</v>
      </c>
      <c r="N106" s="19">
        <f t="shared" si="6"/>
        <v>-416500</v>
      </c>
      <c r="O106" t="str">
        <f t="shared" si="7"/>
        <v>Normal</v>
      </c>
      <c r="P106">
        <f>_xlfn.XLOOKUP(E106,Products_Master!B:B,Products_Master!D:D)</f>
        <v>70000</v>
      </c>
    </row>
    <row r="107" spans="1:16" x14ac:dyDescent="0.35">
      <c r="A107" t="s">
        <v>139</v>
      </c>
      <c r="B107" s="5">
        <v>45402</v>
      </c>
      <c r="C107" s="2" t="str">
        <f t="shared" si="4"/>
        <v>April</v>
      </c>
      <c r="D107" s="2" t="str">
        <f t="shared" si="5"/>
        <v>2024</v>
      </c>
      <c r="E107" t="s">
        <v>23</v>
      </c>
      <c r="F107" t="s">
        <v>13</v>
      </c>
      <c r="G107" t="s">
        <v>21</v>
      </c>
      <c r="H107" t="s">
        <v>49</v>
      </c>
      <c r="I107">
        <v>2</v>
      </c>
      <c r="J107">
        <v>1500</v>
      </c>
      <c r="K107">
        <v>10</v>
      </c>
      <c r="L107">
        <v>3000</v>
      </c>
      <c r="M107" s="7">
        <v>2700</v>
      </c>
      <c r="N107" s="19">
        <f t="shared" si="6"/>
        <v>-30600</v>
      </c>
      <c r="O107" t="str">
        <f t="shared" si="7"/>
        <v>Normal</v>
      </c>
      <c r="P107">
        <f>_xlfn.XLOOKUP(E107,Products_Master!B:B,Products_Master!D:D)</f>
        <v>18000</v>
      </c>
    </row>
    <row r="108" spans="1:16" x14ac:dyDescent="0.35">
      <c r="A108" t="s">
        <v>140</v>
      </c>
      <c r="B108" s="5">
        <v>45403</v>
      </c>
      <c r="C108" s="2" t="str">
        <f t="shared" si="4"/>
        <v>April</v>
      </c>
      <c r="D108" s="2" t="str">
        <f t="shared" si="5"/>
        <v>2024</v>
      </c>
      <c r="E108" t="s">
        <v>17</v>
      </c>
      <c r="F108" t="s">
        <v>13</v>
      </c>
      <c r="G108" t="s">
        <v>21</v>
      </c>
      <c r="H108" t="s">
        <v>29</v>
      </c>
      <c r="I108">
        <v>2</v>
      </c>
      <c r="J108">
        <v>1500</v>
      </c>
      <c r="K108">
        <v>0</v>
      </c>
      <c r="L108">
        <v>3000</v>
      </c>
      <c r="M108" s="7">
        <v>3000</v>
      </c>
      <c r="N108" s="19">
        <f t="shared" si="6"/>
        <v>2000</v>
      </c>
      <c r="O108" t="str">
        <f t="shared" si="7"/>
        <v>Normal</v>
      </c>
      <c r="P108">
        <f>_xlfn.XLOOKUP(E108,Products_Master!B:B,Products_Master!D:D)</f>
        <v>2000</v>
      </c>
    </row>
    <row r="109" spans="1:16" x14ac:dyDescent="0.35">
      <c r="A109" t="s">
        <v>141</v>
      </c>
      <c r="B109" s="5">
        <v>45403</v>
      </c>
      <c r="C109" s="2" t="str">
        <f t="shared" si="4"/>
        <v>April</v>
      </c>
      <c r="D109" s="2" t="str">
        <f t="shared" si="5"/>
        <v>2024</v>
      </c>
      <c r="E109" t="s">
        <v>27</v>
      </c>
      <c r="F109" t="s">
        <v>18</v>
      </c>
      <c r="G109" t="s">
        <v>19</v>
      </c>
      <c r="H109" t="s">
        <v>25</v>
      </c>
      <c r="I109">
        <v>7</v>
      </c>
      <c r="J109">
        <v>8000</v>
      </c>
      <c r="K109">
        <v>0</v>
      </c>
      <c r="L109">
        <v>56000</v>
      </c>
      <c r="M109" s="7">
        <v>56000</v>
      </c>
      <c r="N109" s="19">
        <f t="shared" si="6"/>
        <v>385700</v>
      </c>
      <c r="O109" t="str">
        <f t="shared" si="7"/>
        <v>Normal</v>
      </c>
      <c r="P109">
        <f>_xlfn.XLOOKUP(E109,Products_Master!B:B,Products_Master!D:D)</f>
        <v>900</v>
      </c>
    </row>
    <row r="110" spans="1:16" x14ac:dyDescent="0.35">
      <c r="A110" t="s">
        <v>142</v>
      </c>
      <c r="B110" s="5">
        <v>45404</v>
      </c>
      <c r="C110" s="2" t="str">
        <f t="shared" si="4"/>
        <v>April</v>
      </c>
      <c r="D110" s="2" t="str">
        <f t="shared" si="5"/>
        <v>2024</v>
      </c>
      <c r="E110" t="s">
        <v>12</v>
      </c>
      <c r="F110" t="s">
        <v>13</v>
      </c>
      <c r="G110" t="s">
        <v>21</v>
      </c>
      <c r="H110" t="s">
        <v>40</v>
      </c>
      <c r="I110">
        <v>3</v>
      </c>
      <c r="J110">
        <v>15000</v>
      </c>
      <c r="K110">
        <v>0</v>
      </c>
      <c r="L110">
        <v>45000</v>
      </c>
      <c r="M110" s="7">
        <v>45000</v>
      </c>
      <c r="N110" s="19">
        <f t="shared" si="6"/>
        <v>30000</v>
      </c>
      <c r="O110" t="str">
        <f t="shared" si="7"/>
        <v>Normal</v>
      </c>
      <c r="P110">
        <f>_xlfn.XLOOKUP(E110,Products_Master!B:B,Products_Master!D:D)</f>
        <v>35000</v>
      </c>
    </row>
    <row r="111" spans="1:16" x14ac:dyDescent="0.35">
      <c r="A111" t="s">
        <v>143</v>
      </c>
      <c r="B111" s="5">
        <v>45406</v>
      </c>
      <c r="C111" s="2" t="str">
        <f t="shared" si="4"/>
        <v>April</v>
      </c>
      <c r="D111" s="2" t="str">
        <f t="shared" si="5"/>
        <v>2024</v>
      </c>
      <c r="E111" t="s">
        <v>17</v>
      </c>
      <c r="F111" t="s">
        <v>13</v>
      </c>
      <c r="G111" t="s">
        <v>39</v>
      </c>
      <c r="H111" t="s">
        <v>32</v>
      </c>
      <c r="I111">
        <v>9</v>
      </c>
      <c r="J111">
        <v>85000</v>
      </c>
      <c r="K111">
        <v>0</v>
      </c>
      <c r="L111">
        <v>765000</v>
      </c>
      <c r="M111" s="7">
        <v>765000</v>
      </c>
      <c r="N111" s="19">
        <f t="shared" si="6"/>
        <v>6867000</v>
      </c>
      <c r="O111" t="str">
        <f t="shared" si="7"/>
        <v>Normal</v>
      </c>
      <c r="P111">
        <f>_xlfn.XLOOKUP(E111,Products_Master!B:B,Products_Master!D:D)</f>
        <v>2000</v>
      </c>
    </row>
    <row r="112" spans="1:16" x14ac:dyDescent="0.35">
      <c r="A112" t="s">
        <v>144</v>
      </c>
      <c r="B112" s="5">
        <v>45406</v>
      </c>
      <c r="C112" s="2" t="str">
        <f t="shared" si="4"/>
        <v>April</v>
      </c>
      <c r="D112" s="2" t="str">
        <f t="shared" si="5"/>
        <v>2024</v>
      </c>
      <c r="E112" t="s">
        <v>17</v>
      </c>
      <c r="F112" t="s">
        <v>13</v>
      </c>
      <c r="G112" t="s">
        <v>37</v>
      </c>
      <c r="H112" t="s">
        <v>25</v>
      </c>
      <c r="I112">
        <v>4</v>
      </c>
      <c r="J112">
        <v>45000</v>
      </c>
      <c r="K112">
        <v>0</v>
      </c>
      <c r="L112">
        <v>180000</v>
      </c>
      <c r="M112" s="7">
        <v>180000</v>
      </c>
      <c r="N112" s="19">
        <f t="shared" si="6"/>
        <v>712000</v>
      </c>
      <c r="O112" t="str">
        <f t="shared" si="7"/>
        <v>Normal</v>
      </c>
      <c r="P112">
        <f>_xlfn.XLOOKUP(E112,Products_Master!B:B,Products_Master!D:D)</f>
        <v>2000</v>
      </c>
    </row>
    <row r="113" spans="1:16" x14ac:dyDescent="0.35">
      <c r="A113" t="s">
        <v>145</v>
      </c>
      <c r="B113" s="5">
        <v>45406</v>
      </c>
      <c r="C113" s="2" t="str">
        <f t="shared" si="4"/>
        <v>April</v>
      </c>
      <c r="D113" s="2" t="str">
        <f t="shared" si="5"/>
        <v>2024</v>
      </c>
      <c r="E113" t="s">
        <v>27</v>
      </c>
      <c r="F113" t="s">
        <v>13</v>
      </c>
      <c r="G113" t="s">
        <v>19</v>
      </c>
      <c r="H113" t="s">
        <v>49</v>
      </c>
      <c r="I113">
        <v>8</v>
      </c>
      <c r="J113">
        <v>2500</v>
      </c>
      <c r="K113">
        <v>0</v>
      </c>
      <c r="L113">
        <v>20000</v>
      </c>
      <c r="M113" s="7">
        <v>20000</v>
      </c>
      <c r="N113" s="19">
        <f t="shared" si="6"/>
        <v>152800</v>
      </c>
      <c r="O113" t="str">
        <f t="shared" si="7"/>
        <v>Normal</v>
      </c>
      <c r="P113">
        <f>_xlfn.XLOOKUP(E113,Products_Master!B:B,Products_Master!D:D)</f>
        <v>900</v>
      </c>
    </row>
    <row r="114" spans="1:16" x14ac:dyDescent="0.35">
      <c r="A114" t="s">
        <v>146</v>
      </c>
      <c r="B114" s="5">
        <v>45406</v>
      </c>
      <c r="C114" s="2" t="str">
        <f t="shared" si="4"/>
        <v>April</v>
      </c>
      <c r="D114" s="2" t="str">
        <f t="shared" si="5"/>
        <v>2024</v>
      </c>
      <c r="E114" t="s">
        <v>27</v>
      </c>
      <c r="F114" t="s">
        <v>18</v>
      </c>
      <c r="G114" t="s">
        <v>14</v>
      </c>
      <c r="H114" t="s">
        <v>49</v>
      </c>
      <c r="I114">
        <v>6</v>
      </c>
      <c r="J114">
        <v>1500</v>
      </c>
      <c r="K114">
        <v>5</v>
      </c>
      <c r="L114">
        <v>9000</v>
      </c>
      <c r="M114" s="7">
        <v>8550</v>
      </c>
      <c r="N114" s="19">
        <f t="shared" si="6"/>
        <v>45900</v>
      </c>
      <c r="O114" t="str">
        <f t="shared" si="7"/>
        <v>Normal</v>
      </c>
      <c r="P114">
        <f>_xlfn.XLOOKUP(E114,Products_Master!B:B,Products_Master!D:D)</f>
        <v>900</v>
      </c>
    </row>
    <row r="115" spans="1:16" x14ac:dyDescent="0.35">
      <c r="A115" t="s">
        <v>147</v>
      </c>
      <c r="B115" s="5">
        <v>45409</v>
      </c>
      <c r="C115" s="2" t="str">
        <f t="shared" si="4"/>
        <v>April</v>
      </c>
      <c r="D115" s="2" t="str">
        <f t="shared" si="5"/>
        <v>2024</v>
      </c>
      <c r="E115" t="s">
        <v>42</v>
      </c>
      <c r="F115" t="s">
        <v>13</v>
      </c>
      <c r="G115" t="s">
        <v>21</v>
      </c>
      <c r="H115" t="s">
        <v>49</v>
      </c>
      <c r="I115">
        <v>4</v>
      </c>
      <c r="J115">
        <v>2500</v>
      </c>
      <c r="K115">
        <v>0</v>
      </c>
      <c r="L115">
        <v>10000</v>
      </c>
      <c r="M115" s="7">
        <v>10000</v>
      </c>
      <c r="N115" s="19">
        <f t="shared" si="6"/>
        <v>37600</v>
      </c>
      <c r="O115" t="str">
        <f t="shared" si="7"/>
        <v>Normal</v>
      </c>
      <c r="P115">
        <f>_xlfn.XLOOKUP(E115,Products_Master!B:B,Products_Master!D:D)</f>
        <v>600</v>
      </c>
    </row>
    <row r="116" spans="1:16" x14ac:dyDescent="0.35">
      <c r="A116" t="s">
        <v>148</v>
      </c>
      <c r="B116" s="5">
        <v>45410</v>
      </c>
      <c r="C116" s="2" t="str">
        <f t="shared" si="4"/>
        <v>April</v>
      </c>
      <c r="D116" s="2" t="str">
        <f t="shared" si="5"/>
        <v>2024</v>
      </c>
      <c r="E116" t="s">
        <v>27</v>
      </c>
      <c r="F116" t="s">
        <v>13</v>
      </c>
      <c r="G116" t="s">
        <v>39</v>
      </c>
      <c r="H116" t="s">
        <v>49</v>
      </c>
      <c r="I116">
        <v>2</v>
      </c>
      <c r="J116">
        <v>2500</v>
      </c>
      <c r="K116">
        <v>10</v>
      </c>
      <c r="L116">
        <v>5000</v>
      </c>
      <c r="M116" s="7">
        <v>4500</v>
      </c>
      <c r="N116" s="19">
        <f t="shared" si="6"/>
        <v>7200</v>
      </c>
      <c r="O116" t="str">
        <f t="shared" si="7"/>
        <v>Normal</v>
      </c>
      <c r="P116">
        <f>_xlfn.XLOOKUP(E116,Products_Master!B:B,Products_Master!D:D)</f>
        <v>900</v>
      </c>
    </row>
    <row r="117" spans="1:16" x14ac:dyDescent="0.35">
      <c r="A117" t="s">
        <v>149</v>
      </c>
      <c r="B117" s="5">
        <v>45410</v>
      </c>
      <c r="C117" s="2" t="str">
        <f t="shared" si="4"/>
        <v>April</v>
      </c>
      <c r="D117" s="2" t="str">
        <f t="shared" si="5"/>
        <v>2024</v>
      </c>
      <c r="E117" t="s">
        <v>17</v>
      </c>
      <c r="F117" t="s">
        <v>18</v>
      </c>
      <c r="G117" t="s">
        <v>24</v>
      </c>
      <c r="H117" t="s">
        <v>15</v>
      </c>
      <c r="I117">
        <v>9</v>
      </c>
      <c r="J117">
        <v>1500</v>
      </c>
      <c r="K117">
        <v>0</v>
      </c>
      <c r="L117">
        <v>13500</v>
      </c>
      <c r="M117" s="7">
        <v>13500</v>
      </c>
      <c r="N117" s="19">
        <f t="shared" si="6"/>
        <v>103500</v>
      </c>
      <c r="O117" t="str">
        <f t="shared" si="7"/>
        <v>Normal</v>
      </c>
      <c r="P117">
        <f>_xlfn.XLOOKUP(E117,Products_Master!B:B,Products_Master!D:D)</f>
        <v>2000</v>
      </c>
    </row>
    <row r="118" spans="1:16" x14ac:dyDescent="0.35">
      <c r="A118" t="s">
        <v>150</v>
      </c>
      <c r="B118" s="5">
        <v>45410</v>
      </c>
      <c r="C118" s="2" t="str">
        <f t="shared" si="4"/>
        <v>April</v>
      </c>
      <c r="D118" s="2" t="str">
        <f t="shared" si="5"/>
        <v>2024</v>
      </c>
      <c r="E118" t="s">
        <v>36</v>
      </c>
      <c r="F118" t="s">
        <v>18</v>
      </c>
      <c r="G118" t="s">
        <v>14</v>
      </c>
      <c r="H118" t="s">
        <v>32</v>
      </c>
      <c r="I118">
        <v>2</v>
      </c>
      <c r="J118">
        <v>15000</v>
      </c>
      <c r="K118">
        <v>10</v>
      </c>
      <c r="L118">
        <v>30000</v>
      </c>
      <c r="M118" s="7">
        <v>27000</v>
      </c>
      <c r="N118" s="19">
        <f t="shared" si="6"/>
        <v>52400</v>
      </c>
      <c r="O118" t="str">
        <f t="shared" si="7"/>
        <v>Normal</v>
      </c>
      <c r="P118">
        <f>_xlfn.XLOOKUP(E118,Products_Master!B:B,Products_Master!D:D)</f>
        <v>800</v>
      </c>
    </row>
    <row r="119" spans="1:16" x14ac:dyDescent="0.35">
      <c r="A119" t="s">
        <v>151</v>
      </c>
      <c r="B119" s="5">
        <v>45414</v>
      </c>
      <c r="C119" s="2" t="str">
        <f t="shared" si="4"/>
        <v>May</v>
      </c>
      <c r="D119" s="2" t="str">
        <f t="shared" si="5"/>
        <v>2024</v>
      </c>
      <c r="E119" t="s">
        <v>54</v>
      </c>
      <c r="F119" t="s">
        <v>13</v>
      </c>
      <c r="G119" t="s">
        <v>19</v>
      </c>
      <c r="H119" t="s">
        <v>34</v>
      </c>
      <c r="I119">
        <v>4</v>
      </c>
      <c r="J119">
        <v>85000</v>
      </c>
      <c r="K119">
        <v>5</v>
      </c>
      <c r="L119">
        <v>340000</v>
      </c>
      <c r="M119" s="7">
        <v>323000</v>
      </c>
      <c r="N119" s="19">
        <f t="shared" si="6"/>
        <v>1012000</v>
      </c>
      <c r="O119" t="str">
        <f t="shared" si="7"/>
        <v>Normal</v>
      </c>
      <c r="P119">
        <f>_xlfn.XLOOKUP(E119,Products_Master!B:B,Products_Master!D:D)</f>
        <v>70000</v>
      </c>
    </row>
    <row r="120" spans="1:16" x14ac:dyDescent="0.35">
      <c r="A120" t="s">
        <v>152</v>
      </c>
      <c r="B120" s="5">
        <v>45415</v>
      </c>
      <c r="C120" s="2" t="str">
        <f t="shared" si="4"/>
        <v>May</v>
      </c>
      <c r="D120" s="2" t="str">
        <f t="shared" si="5"/>
        <v>2024</v>
      </c>
      <c r="E120" t="s">
        <v>12</v>
      </c>
      <c r="F120" t="s">
        <v>13</v>
      </c>
      <c r="G120" t="s">
        <v>37</v>
      </c>
      <c r="H120" t="s">
        <v>32</v>
      </c>
      <c r="I120">
        <v>8</v>
      </c>
      <c r="J120">
        <v>8000</v>
      </c>
      <c r="K120">
        <v>0</v>
      </c>
      <c r="L120">
        <v>64000</v>
      </c>
      <c r="M120" s="7">
        <v>64000</v>
      </c>
      <c r="N120" s="19">
        <f t="shared" si="6"/>
        <v>232000</v>
      </c>
      <c r="O120" t="str">
        <f t="shared" si="7"/>
        <v>Normal</v>
      </c>
      <c r="P120">
        <f>_xlfn.XLOOKUP(E120,Products_Master!B:B,Products_Master!D:D)</f>
        <v>35000</v>
      </c>
    </row>
    <row r="121" spans="1:16" x14ac:dyDescent="0.35">
      <c r="A121" t="s">
        <v>153</v>
      </c>
      <c r="B121" s="5">
        <v>45416</v>
      </c>
      <c r="C121" s="2" t="str">
        <f t="shared" si="4"/>
        <v>May</v>
      </c>
      <c r="D121" s="2" t="str">
        <f t="shared" si="5"/>
        <v>2024</v>
      </c>
      <c r="E121" t="s">
        <v>42</v>
      </c>
      <c r="F121" t="s">
        <v>13</v>
      </c>
      <c r="G121" t="s">
        <v>14</v>
      </c>
      <c r="H121" t="s">
        <v>40</v>
      </c>
      <c r="I121">
        <v>3</v>
      </c>
      <c r="J121">
        <v>2500</v>
      </c>
      <c r="K121">
        <v>0</v>
      </c>
      <c r="L121">
        <v>7500</v>
      </c>
      <c r="M121" s="7">
        <v>7500</v>
      </c>
      <c r="N121" s="19">
        <f t="shared" si="6"/>
        <v>20700</v>
      </c>
      <c r="O121" t="str">
        <f t="shared" si="7"/>
        <v>Normal</v>
      </c>
      <c r="P121">
        <f>_xlfn.XLOOKUP(E121,Products_Master!B:B,Products_Master!D:D)</f>
        <v>600</v>
      </c>
    </row>
    <row r="122" spans="1:16" x14ac:dyDescent="0.35">
      <c r="A122" t="s">
        <v>154</v>
      </c>
      <c r="B122" s="5">
        <v>45419</v>
      </c>
      <c r="C122" s="2" t="str">
        <f t="shared" si="4"/>
        <v>May</v>
      </c>
      <c r="D122" s="2" t="str">
        <f t="shared" si="5"/>
        <v>2024</v>
      </c>
      <c r="E122" t="s">
        <v>54</v>
      </c>
      <c r="F122" t="s">
        <v>13</v>
      </c>
      <c r="G122" t="s">
        <v>39</v>
      </c>
      <c r="H122" t="s">
        <v>29</v>
      </c>
      <c r="I122">
        <v>8</v>
      </c>
      <c r="J122">
        <v>120000</v>
      </c>
      <c r="K122">
        <v>0</v>
      </c>
      <c r="L122">
        <v>960000</v>
      </c>
      <c r="M122" s="7">
        <v>960000</v>
      </c>
      <c r="N122" s="19">
        <f t="shared" si="6"/>
        <v>7120000</v>
      </c>
      <c r="O122" t="str">
        <f t="shared" si="7"/>
        <v>Normal</v>
      </c>
      <c r="P122">
        <f>_xlfn.XLOOKUP(E122,Products_Master!B:B,Products_Master!D:D)</f>
        <v>70000</v>
      </c>
    </row>
    <row r="123" spans="1:16" x14ac:dyDescent="0.35">
      <c r="A123" t="s">
        <v>155</v>
      </c>
      <c r="B123" s="5">
        <v>45419</v>
      </c>
      <c r="C123" s="2" t="str">
        <f t="shared" si="4"/>
        <v>May</v>
      </c>
      <c r="D123" s="2" t="str">
        <f t="shared" si="5"/>
        <v>2024</v>
      </c>
      <c r="E123" t="s">
        <v>23</v>
      </c>
      <c r="F123" t="s">
        <v>13</v>
      </c>
      <c r="G123" t="s">
        <v>24</v>
      </c>
      <c r="H123" t="s">
        <v>34</v>
      </c>
      <c r="I123">
        <v>9</v>
      </c>
      <c r="J123">
        <v>1500</v>
      </c>
      <c r="K123">
        <v>5</v>
      </c>
      <c r="L123">
        <v>13500</v>
      </c>
      <c r="M123" s="7">
        <v>12825</v>
      </c>
      <c r="N123" s="19">
        <f t="shared" si="6"/>
        <v>-46575</v>
      </c>
      <c r="O123" t="str">
        <f t="shared" si="7"/>
        <v>Normal</v>
      </c>
      <c r="P123">
        <f>_xlfn.XLOOKUP(E123,Products_Master!B:B,Products_Master!D:D)</f>
        <v>18000</v>
      </c>
    </row>
    <row r="124" spans="1:16" x14ac:dyDescent="0.35">
      <c r="A124" t="s">
        <v>156</v>
      </c>
      <c r="B124" s="5">
        <v>45420</v>
      </c>
      <c r="C124" s="2" t="str">
        <f t="shared" si="4"/>
        <v>May</v>
      </c>
      <c r="D124" s="2" t="str">
        <f t="shared" si="5"/>
        <v>2024</v>
      </c>
      <c r="E124" t="s">
        <v>31</v>
      </c>
      <c r="F124" t="s">
        <v>18</v>
      </c>
      <c r="G124" t="s">
        <v>19</v>
      </c>
      <c r="H124" t="s">
        <v>34</v>
      </c>
      <c r="I124">
        <v>3</v>
      </c>
      <c r="J124">
        <v>45000</v>
      </c>
      <c r="K124">
        <v>5</v>
      </c>
      <c r="L124">
        <v>135000</v>
      </c>
      <c r="M124" s="7">
        <v>128250</v>
      </c>
      <c r="N124" s="19">
        <f t="shared" si="6"/>
        <v>339750</v>
      </c>
      <c r="O124" t="str">
        <f t="shared" si="7"/>
        <v>Normal</v>
      </c>
      <c r="P124">
        <f>_xlfn.XLOOKUP(E124,Products_Master!B:B,Products_Master!D:D)</f>
        <v>15000</v>
      </c>
    </row>
    <row r="125" spans="1:16" x14ac:dyDescent="0.35">
      <c r="A125" t="s">
        <v>157</v>
      </c>
      <c r="B125" s="5">
        <v>45422</v>
      </c>
      <c r="C125" s="2" t="str">
        <f t="shared" si="4"/>
        <v>May</v>
      </c>
      <c r="D125" s="2" t="str">
        <f t="shared" si="5"/>
        <v>2024</v>
      </c>
      <c r="E125" t="s">
        <v>42</v>
      </c>
      <c r="F125" t="s">
        <v>13</v>
      </c>
      <c r="G125" t="s">
        <v>37</v>
      </c>
      <c r="H125" t="s">
        <v>25</v>
      </c>
      <c r="I125">
        <v>8</v>
      </c>
      <c r="J125">
        <v>85000</v>
      </c>
      <c r="K125">
        <v>0</v>
      </c>
      <c r="L125">
        <v>680000</v>
      </c>
      <c r="M125" s="7">
        <v>680000</v>
      </c>
      <c r="N125" s="19">
        <f t="shared" si="6"/>
        <v>5435200</v>
      </c>
      <c r="O125" t="str">
        <f t="shared" si="7"/>
        <v>Normal</v>
      </c>
      <c r="P125">
        <f>_xlfn.XLOOKUP(E125,Products_Master!B:B,Products_Master!D:D)</f>
        <v>600</v>
      </c>
    </row>
    <row r="126" spans="1:16" x14ac:dyDescent="0.35">
      <c r="A126" t="s">
        <v>158</v>
      </c>
      <c r="B126" s="5">
        <v>45422</v>
      </c>
      <c r="C126" s="2" t="str">
        <f t="shared" si="4"/>
        <v>May</v>
      </c>
      <c r="D126" s="2" t="str">
        <f t="shared" si="5"/>
        <v>2024</v>
      </c>
      <c r="E126" t="s">
        <v>31</v>
      </c>
      <c r="F126" t="s">
        <v>13</v>
      </c>
      <c r="G126" t="s">
        <v>24</v>
      </c>
      <c r="H126" t="s">
        <v>49</v>
      </c>
      <c r="I126">
        <v>6</v>
      </c>
      <c r="J126">
        <v>120000</v>
      </c>
      <c r="K126">
        <v>10</v>
      </c>
      <c r="L126">
        <v>720000</v>
      </c>
      <c r="M126" s="7">
        <v>648000</v>
      </c>
      <c r="N126" s="19">
        <f t="shared" si="6"/>
        <v>3798000</v>
      </c>
      <c r="O126" t="str">
        <f t="shared" si="7"/>
        <v>Normal</v>
      </c>
      <c r="P126">
        <f>_xlfn.XLOOKUP(E126,Products_Master!B:B,Products_Master!D:D)</f>
        <v>15000</v>
      </c>
    </row>
    <row r="127" spans="1:16" x14ac:dyDescent="0.35">
      <c r="A127" t="s">
        <v>159</v>
      </c>
      <c r="B127" s="5">
        <v>45423</v>
      </c>
      <c r="C127" s="2" t="str">
        <f t="shared" si="4"/>
        <v>May</v>
      </c>
      <c r="D127" s="2" t="str">
        <f t="shared" si="5"/>
        <v>2024</v>
      </c>
      <c r="E127" t="s">
        <v>54</v>
      </c>
      <c r="F127" t="s">
        <v>18</v>
      </c>
      <c r="G127" t="s">
        <v>14</v>
      </c>
      <c r="H127" t="s">
        <v>49</v>
      </c>
      <c r="I127">
        <v>4</v>
      </c>
      <c r="J127">
        <v>85000</v>
      </c>
      <c r="K127">
        <v>15</v>
      </c>
      <c r="L127">
        <v>340000</v>
      </c>
      <c r="M127" s="7">
        <v>289000</v>
      </c>
      <c r="N127" s="19">
        <f t="shared" si="6"/>
        <v>876000</v>
      </c>
      <c r="O127" t="str">
        <f t="shared" si="7"/>
        <v>Normal</v>
      </c>
      <c r="P127">
        <f>_xlfn.XLOOKUP(E127,Products_Master!B:B,Products_Master!D:D)</f>
        <v>70000</v>
      </c>
    </row>
    <row r="128" spans="1:16" x14ac:dyDescent="0.35">
      <c r="A128" t="s">
        <v>160</v>
      </c>
      <c r="B128" s="5">
        <v>45425</v>
      </c>
      <c r="C128" s="2" t="str">
        <f t="shared" si="4"/>
        <v>May</v>
      </c>
      <c r="D128" s="2" t="str">
        <f t="shared" si="5"/>
        <v>2024</v>
      </c>
      <c r="E128" t="s">
        <v>17</v>
      </c>
      <c r="F128" t="s">
        <v>18</v>
      </c>
      <c r="G128" t="s">
        <v>14</v>
      </c>
      <c r="H128" t="s">
        <v>29</v>
      </c>
      <c r="I128">
        <v>5</v>
      </c>
      <c r="J128">
        <v>85000</v>
      </c>
      <c r="K128">
        <v>5</v>
      </c>
      <c r="L128">
        <v>425000</v>
      </c>
      <c r="M128" s="7">
        <v>403750</v>
      </c>
      <c r="N128" s="19">
        <f t="shared" si="6"/>
        <v>2008750</v>
      </c>
      <c r="O128" t="str">
        <f t="shared" si="7"/>
        <v>Normal</v>
      </c>
      <c r="P128">
        <f>_xlfn.XLOOKUP(E128,Products_Master!B:B,Products_Master!D:D)</f>
        <v>2000</v>
      </c>
    </row>
    <row r="129" spans="1:16" x14ac:dyDescent="0.35">
      <c r="A129" t="s">
        <v>161</v>
      </c>
      <c r="B129" s="5">
        <v>45426</v>
      </c>
      <c r="C129" s="2" t="str">
        <f t="shared" si="4"/>
        <v>May</v>
      </c>
      <c r="D129" s="2" t="str">
        <f t="shared" si="5"/>
        <v>2024</v>
      </c>
      <c r="E129" t="s">
        <v>42</v>
      </c>
      <c r="F129" t="s">
        <v>18</v>
      </c>
      <c r="G129" t="s">
        <v>19</v>
      </c>
      <c r="H129" t="s">
        <v>32</v>
      </c>
      <c r="I129">
        <v>4</v>
      </c>
      <c r="J129">
        <v>85000</v>
      </c>
      <c r="K129">
        <v>0</v>
      </c>
      <c r="L129">
        <v>340000</v>
      </c>
      <c r="M129" s="7">
        <v>340000</v>
      </c>
      <c r="N129" s="19">
        <f t="shared" si="6"/>
        <v>1357600</v>
      </c>
      <c r="O129" t="str">
        <f t="shared" si="7"/>
        <v>Normal</v>
      </c>
      <c r="P129">
        <f>_xlfn.XLOOKUP(E129,Products_Master!B:B,Products_Master!D:D)</f>
        <v>600</v>
      </c>
    </row>
    <row r="130" spans="1:16" x14ac:dyDescent="0.35">
      <c r="A130" t="s">
        <v>162</v>
      </c>
      <c r="B130" s="5">
        <v>45427</v>
      </c>
      <c r="C130" s="2" t="str">
        <f t="shared" si="4"/>
        <v>May</v>
      </c>
      <c r="D130" s="2" t="str">
        <f t="shared" si="5"/>
        <v>2024</v>
      </c>
      <c r="E130" t="s">
        <v>31</v>
      </c>
      <c r="F130" t="s">
        <v>18</v>
      </c>
      <c r="G130" t="s">
        <v>14</v>
      </c>
      <c r="H130" t="s">
        <v>25</v>
      </c>
      <c r="I130">
        <v>8</v>
      </c>
      <c r="J130">
        <v>1500</v>
      </c>
      <c r="K130">
        <v>10</v>
      </c>
      <c r="L130">
        <v>12000</v>
      </c>
      <c r="M130" s="7">
        <v>10800</v>
      </c>
      <c r="N130" s="19">
        <f t="shared" si="6"/>
        <v>-33600</v>
      </c>
      <c r="O130" t="str">
        <f t="shared" si="7"/>
        <v>Normal</v>
      </c>
      <c r="P130">
        <f>_xlfn.XLOOKUP(E130,Products_Master!B:B,Products_Master!D:D)</f>
        <v>15000</v>
      </c>
    </row>
    <row r="131" spans="1:16" x14ac:dyDescent="0.35">
      <c r="A131" t="s">
        <v>163</v>
      </c>
      <c r="B131" s="5">
        <v>45427</v>
      </c>
      <c r="C131" s="2" t="str">
        <f t="shared" ref="C131:C194" si="8">TEXT(B131,"MMMM")</f>
        <v>May</v>
      </c>
      <c r="D131" s="2" t="str">
        <f t="shared" ref="D131:D194" si="9">TEXT(B131,"yyy")</f>
        <v>2024</v>
      </c>
      <c r="E131" t="s">
        <v>23</v>
      </c>
      <c r="F131" t="s">
        <v>18</v>
      </c>
      <c r="G131" t="s">
        <v>24</v>
      </c>
      <c r="H131" t="s">
        <v>40</v>
      </c>
      <c r="I131">
        <v>4</v>
      </c>
      <c r="J131">
        <v>1500</v>
      </c>
      <c r="K131">
        <v>5</v>
      </c>
      <c r="L131">
        <v>6000</v>
      </c>
      <c r="M131" s="7">
        <v>5700</v>
      </c>
      <c r="N131" s="19">
        <f t="shared" ref="N131:N194" si="10">(M131-P131)*I131</f>
        <v>-49200</v>
      </c>
      <c r="O131" t="str">
        <f t="shared" ref="O131:O194" si="11">IF(K131=15%,"Very High ",IF(K131=10%,"High Discount","Normal"))</f>
        <v>Normal</v>
      </c>
      <c r="P131">
        <f>_xlfn.XLOOKUP(E131,Products_Master!B:B,Products_Master!D:D)</f>
        <v>18000</v>
      </c>
    </row>
    <row r="132" spans="1:16" x14ac:dyDescent="0.35">
      <c r="A132" t="s">
        <v>164</v>
      </c>
      <c r="B132" s="5">
        <v>45428</v>
      </c>
      <c r="C132" s="2" t="str">
        <f t="shared" si="8"/>
        <v>May</v>
      </c>
      <c r="D132" s="2" t="str">
        <f t="shared" si="9"/>
        <v>2024</v>
      </c>
      <c r="E132" t="s">
        <v>42</v>
      </c>
      <c r="F132" t="s">
        <v>13</v>
      </c>
      <c r="G132" t="s">
        <v>14</v>
      </c>
      <c r="H132" t="s">
        <v>29</v>
      </c>
      <c r="I132">
        <v>4</v>
      </c>
      <c r="J132">
        <v>85000</v>
      </c>
      <c r="K132">
        <v>5</v>
      </c>
      <c r="L132">
        <v>340000</v>
      </c>
      <c r="M132" s="7">
        <v>323000</v>
      </c>
      <c r="N132" s="19">
        <f t="shared" si="10"/>
        <v>1289600</v>
      </c>
      <c r="O132" t="str">
        <f t="shared" si="11"/>
        <v>Normal</v>
      </c>
      <c r="P132">
        <f>_xlfn.XLOOKUP(E132,Products_Master!B:B,Products_Master!D:D)</f>
        <v>600</v>
      </c>
    </row>
    <row r="133" spans="1:16" x14ac:dyDescent="0.35">
      <c r="A133" t="s">
        <v>165</v>
      </c>
      <c r="B133" s="5">
        <v>45429</v>
      </c>
      <c r="C133" s="2" t="str">
        <f t="shared" si="8"/>
        <v>May</v>
      </c>
      <c r="D133" s="2" t="str">
        <f t="shared" si="9"/>
        <v>2024</v>
      </c>
      <c r="E133" t="s">
        <v>23</v>
      </c>
      <c r="F133" t="s">
        <v>13</v>
      </c>
      <c r="G133" t="s">
        <v>21</v>
      </c>
      <c r="H133" t="s">
        <v>34</v>
      </c>
      <c r="I133">
        <v>9</v>
      </c>
      <c r="J133">
        <v>45000</v>
      </c>
      <c r="K133">
        <v>10</v>
      </c>
      <c r="L133">
        <v>405000</v>
      </c>
      <c r="M133" s="7">
        <v>364500</v>
      </c>
      <c r="N133" s="19">
        <f t="shared" si="10"/>
        <v>3118500</v>
      </c>
      <c r="O133" t="str">
        <f t="shared" si="11"/>
        <v>Normal</v>
      </c>
      <c r="P133">
        <f>_xlfn.XLOOKUP(E133,Products_Master!B:B,Products_Master!D:D)</f>
        <v>18000</v>
      </c>
    </row>
    <row r="134" spans="1:16" x14ac:dyDescent="0.35">
      <c r="A134" t="s">
        <v>166</v>
      </c>
      <c r="B134" s="5">
        <v>45433</v>
      </c>
      <c r="C134" s="2" t="str">
        <f t="shared" si="8"/>
        <v>May</v>
      </c>
      <c r="D134" s="2" t="str">
        <f t="shared" si="9"/>
        <v>2024</v>
      </c>
      <c r="E134" t="s">
        <v>17</v>
      </c>
      <c r="F134" t="s">
        <v>18</v>
      </c>
      <c r="G134" t="s">
        <v>24</v>
      </c>
      <c r="H134" t="s">
        <v>49</v>
      </c>
      <c r="I134">
        <v>3</v>
      </c>
      <c r="J134">
        <v>2500</v>
      </c>
      <c r="K134">
        <v>0</v>
      </c>
      <c r="L134">
        <v>7500</v>
      </c>
      <c r="M134" s="7">
        <v>7500</v>
      </c>
      <c r="N134" s="19">
        <f t="shared" si="10"/>
        <v>16500</v>
      </c>
      <c r="O134" t="str">
        <f t="shared" si="11"/>
        <v>Normal</v>
      </c>
      <c r="P134">
        <f>_xlfn.XLOOKUP(E134,Products_Master!B:B,Products_Master!D:D)</f>
        <v>2000</v>
      </c>
    </row>
    <row r="135" spans="1:16" x14ac:dyDescent="0.35">
      <c r="A135" t="s">
        <v>167</v>
      </c>
      <c r="B135" s="5">
        <v>45433</v>
      </c>
      <c r="C135" s="2" t="str">
        <f t="shared" si="8"/>
        <v>May</v>
      </c>
      <c r="D135" s="2" t="str">
        <f t="shared" si="9"/>
        <v>2024</v>
      </c>
      <c r="E135" t="s">
        <v>31</v>
      </c>
      <c r="F135" t="s">
        <v>18</v>
      </c>
      <c r="G135" t="s">
        <v>19</v>
      </c>
      <c r="H135" t="s">
        <v>25</v>
      </c>
      <c r="I135">
        <v>7</v>
      </c>
      <c r="J135">
        <v>15000</v>
      </c>
      <c r="K135">
        <v>5</v>
      </c>
      <c r="L135">
        <v>105000</v>
      </c>
      <c r="M135" s="7">
        <v>99750</v>
      </c>
      <c r="N135" s="19">
        <f t="shared" si="10"/>
        <v>593250</v>
      </c>
      <c r="O135" t="str">
        <f t="shared" si="11"/>
        <v>Normal</v>
      </c>
      <c r="P135">
        <f>_xlfn.XLOOKUP(E135,Products_Master!B:B,Products_Master!D:D)</f>
        <v>15000</v>
      </c>
    </row>
    <row r="136" spans="1:16" x14ac:dyDescent="0.35">
      <c r="A136" t="s">
        <v>168</v>
      </c>
      <c r="B136" s="5">
        <v>45434</v>
      </c>
      <c r="C136" s="2" t="str">
        <f t="shared" si="8"/>
        <v>May</v>
      </c>
      <c r="D136" s="2" t="str">
        <f t="shared" si="9"/>
        <v>2024</v>
      </c>
      <c r="E136" t="s">
        <v>31</v>
      </c>
      <c r="F136" t="s">
        <v>13</v>
      </c>
      <c r="G136" t="s">
        <v>14</v>
      </c>
      <c r="H136" t="s">
        <v>49</v>
      </c>
      <c r="I136">
        <v>9</v>
      </c>
      <c r="J136">
        <v>120000</v>
      </c>
      <c r="K136">
        <v>10</v>
      </c>
      <c r="L136">
        <v>1080000</v>
      </c>
      <c r="M136" s="7">
        <v>972000</v>
      </c>
      <c r="N136" s="19">
        <f t="shared" si="10"/>
        <v>8613000</v>
      </c>
      <c r="O136" t="str">
        <f t="shared" si="11"/>
        <v>Normal</v>
      </c>
      <c r="P136">
        <f>_xlfn.XLOOKUP(E136,Products_Master!B:B,Products_Master!D:D)</f>
        <v>15000</v>
      </c>
    </row>
    <row r="137" spans="1:16" x14ac:dyDescent="0.35">
      <c r="A137" t="s">
        <v>169</v>
      </c>
      <c r="B137" s="5">
        <v>45434</v>
      </c>
      <c r="C137" s="2" t="str">
        <f t="shared" si="8"/>
        <v>May</v>
      </c>
      <c r="D137" s="2" t="str">
        <f t="shared" si="9"/>
        <v>2024</v>
      </c>
      <c r="E137" t="s">
        <v>27</v>
      </c>
      <c r="F137" t="s">
        <v>18</v>
      </c>
      <c r="G137" t="s">
        <v>19</v>
      </c>
      <c r="H137" t="s">
        <v>32</v>
      </c>
      <c r="I137">
        <v>6</v>
      </c>
      <c r="J137">
        <v>2500</v>
      </c>
      <c r="K137">
        <v>0</v>
      </c>
      <c r="L137">
        <v>15000</v>
      </c>
      <c r="M137" s="7">
        <v>15000</v>
      </c>
      <c r="N137" s="19">
        <f t="shared" si="10"/>
        <v>84600</v>
      </c>
      <c r="O137" t="str">
        <f t="shared" si="11"/>
        <v>Normal</v>
      </c>
      <c r="P137">
        <f>_xlfn.XLOOKUP(E137,Products_Master!B:B,Products_Master!D:D)</f>
        <v>900</v>
      </c>
    </row>
    <row r="138" spans="1:16" x14ac:dyDescent="0.35">
      <c r="A138" t="s">
        <v>170</v>
      </c>
      <c r="B138" s="5">
        <v>45435</v>
      </c>
      <c r="C138" s="2" t="str">
        <f t="shared" si="8"/>
        <v>May</v>
      </c>
      <c r="D138" s="2" t="str">
        <f t="shared" si="9"/>
        <v>2024</v>
      </c>
      <c r="E138" t="s">
        <v>23</v>
      </c>
      <c r="F138" t="s">
        <v>13</v>
      </c>
      <c r="G138" t="s">
        <v>21</v>
      </c>
      <c r="H138" t="s">
        <v>25</v>
      </c>
      <c r="I138">
        <v>9</v>
      </c>
      <c r="J138">
        <v>2500</v>
      </c>
      <c r="K138">
        <v>10</v>
      </c>
      <c r="L138">
        <v>22500</v>
      </c>
      <c r="M138" s="7">
        <v>20250</v>
      </c>
      <c r="N138" s="19">
        <f t="shared" si="10"/>
        <v>20250</v>
      </c>
      <c r="O138" t="str">
        <f t="shared" si="11"/>
        <v>Normal</v>
      </c>
      <c r="P138">
        <f>_xlfn.XLOOKUP(E138,Products_Master!B:B,Products_Master!D:D)</f>
        <v>18000</v>
      </c>
    </row>
    <row r="139" spans="1:16" x14ac:dyDescent="0.35">
      <c r="A139" t="s">
        <v>171</v>
      </c>
      <c r="B139" s="5">
        <v>45438</v>
      </c>
      <c r="C139" s="2" t="str">
        <f t="shared" si="8"/>
        <v>May</v>
      </c>
      <c r="D139" s="2" t="str">
        <f t="shared" si="9"/>
        <v>2024</v>
      </c>
      <c r="E139" t="s">
        <v>36</v>
      </c>
      <c r="F139" t="s">
        <v>18</v>
      </c>
      <c r="G139" t="s">
        <v>14</v>
      </c>
      <c r="H139" t="s">
        <v>29</v>
      </c>
      <c r="I139">
        <v>6</v>
      </c>
      <c r="J139">
        <v>85000</v>
      </c>
      <c r="K139">
        <v>10</v>
      </c>
      <c r="L139">
        <v>510000</v>
      </c>
      <c r="M139" s="7">
        <v>459000</v>
      </c>
      <c r="N139" s="19">
        <f t="shared" si="10"/>
        <v>2749200</v>
      </c>
      <c r="O139" t="str">
        <f t="shared" si="11"/>
        <v>Normal</v>
      </c>
      <c r="P139">
        <f>_xlfn.XLOOKUP(E139,Products_Master!B:B,Products_Master!D:D)</f>
        <v>800</v>
      </c>
    </row>
    <row r="140" spans="1:16" x14ac:dyDescent="0.35">
      <c r="A140" t="s">
        <v>172</v>
      </c>
      <c r="B140" s="5">
        <v>45442</v>
      </c>
      <c r="C140" s="2" t="str">
        <f t="shared" si="8"/>
        <v>May</v>
      </c>
      <c r="D140" s="2" t="str">
        <f t="shared" si="9"/>
        <v>2024</v>
      </c>
      <c r="E140" t="s">
        <v>17</v>
      </c>
      <c r="F140" t="s">
        <v>18</v>
      </c>
      <c r="G140" t="s">
        <v>21</v>
      </c>
      <c r="H140" t="s">
        <v>34</v>
      </c>
      <c r="I140">
        <v>5</v>
      </c>
      <c r="J140">
        <v>45000</v>
      </c>
      <c r="K140">
        <v>0</v>
      </c>
      <c r="L140">
        <v>225000</v>
      </c>
      <c r="M140" s="7">
        <v>225000</v>
      </c>
      <c r="N140" s="19">
        <f t="shared" si="10"/>
        <v>1115000</v>
      </c>
      <c r="O140" t="str">
        <f t="shared" si="11"/>
        <v>Normal</v>
      </c>
      <c r="P140">
        <f>_xlfn.XLOOKUP(E140,Products_Master!B:B,Products_Master!D:D)</f>
        <v>2000</v>
      </c>
    </row>
    <row r="141" spans="1:16" x14ac:dyDescent="0.35">
      <c r="A141" t="s">
        <v>173</v>
      </c>
      <c r="B141" s="5">
        <v>45443</v>
      </c>
      <c r="C141" s="2" t="str">
        <f t="shared" si="8"/>
        <v>May</v>
      </c>
      <c r="D141" s="2" t="str">
        <f t="shared" si="9"/>
        <v>2024</v>
      </c>
      <c r="E141" t="s">
        <v>54</v>
      </c>
      <c r="F141" t="s">
        <v>18</v>
      </c>
      <c r="G141" t="s">
        <v>37</v>
      </c>
      <c r="H141" t="s">
        <v>25</v>
      </c>
      <c r="I141">
        <v>5</v>
      </c>
      <c r="J141">
        <v>2500</v>
      </c>
      <c r="K141">
        <v>0</v>
      </c>
      <c r="L141">
        <v>12500</v>
      </c>
      <c r="M141" s="7">
        <v>12500</v>
      </c>
      <c r="N141" s="19">
        <f t="shared" si="10"/>
        <v>-287500</v>
      </c>
      <c r="O141" t="str">
        <f t="shared" si="11"/>
        <v>Normal</v>
      </c>
      <c r="P141">
        <f>_xlfn.XLOOKUP(E141,Products_Master!B:B,Products_Master!D:D)</f>
        <v>70000</v>
      </c>
    </row>
    <row r="142" spans="1:16" x14ac:dyDescent="0.35">
      <c r="A142" t="s">
        <v>174</v>
      </c>
      <c r="B142" s="5">
        <v>45443</v>
      </c>
      <c r="C142" s="2" t="str">
        <f t="shared" si="8"/>
        <v>May</v>
      </c>
      <c r="D142" s="2" t="str">
        <f t="shared" si="9"/>
        <v>2024</v>
      </c>
      <c r="E142" t="s">
        <v>54</v>
      </c>
      <c r="F142" t="s">
        <v>13</v>
      </c>
      <c r="G142" t="s">
        <v>37</v>
      </c>
      <c r="H142" t="s">
        <v>25</v>
      </c>
      <c r="I142">
        <v>1</v>
      </c>
      <c r="J142">
        <v>8000</v>
      </c>
      <c r="K142">
        <v>0</v>
      </c>
      <c r="L142">
        <v>8000</v>
      </c>
      <c r="M142" s="7">
        <v>8000</v>
      </c>
      <c r="N142" s="19">
        <f t="shared" si="10"/>
        <v>-62000</v>
      </c>
      <c r="O142" t="str">
        <f t="shared" si="11"/>
        <v>Normal</v>
      </c>
      <c r="P142">
        <f>_xlfn.XLOOKUP(E142,Products_Master!B:B,Products_Master!D:D)</f>
        <v>70000</v>
      </c>
    </row>
    <row r="143" spans="1:16" x14ac:dyDescent="0.35">
      <c r="A143" t="s">
        <v>175</v>
      </c>
      <c r="B143" s="5">
        <v>45444</v>
      </c>
      <c r="C143" s="2" t="str">
        <f t="shared" si="8"/>
        <v>June</v>
      </c>
      <c r="D143" s="2" t="str">
        <f t="shared" si="9"/>
        <v>2024</v>
      </c>
      <c r="E143" t="s">
        <v>23</v>
      </c>
      <c r="F143" t="s">
        <v>18</v>
      </c>
      <c r="G143" t="s">
        <v>39</v>
      </c>
      <c r="H143" t="s">
        <v>15</v>
      </c>
      <c r="I143">
        <v>5</v>
      </c>
      <c r="J143">
        <v>120000</v>
      </c>
      <c r="K143">
        <v>0</v>
      </c>
      <c r="L143">
        <v>600000</v>
      </c>
      <c r="M143" s="7">
        <v>600000</v>
      </c>
      <c r="N143" s="19">
        <f t="shared" si="10"/>
        <v>2910000</v>
      </c>
      <c r="O143" t="str">
        <f t="shared" si="11"/>
        <v>Normal</v>
      </c>
      <c r="P143">
        <f>_xlfn.XLOOKUP(E143,Products_Master!B:B,Products_Master!D:D)</f>
        <v>18000</v>
      </c>
    </row>
    <row r="144" spans="1:16" x14ac:dyDescent="0.35">
      <c r="A144" t="s">
        <v>176</v>
      </c>
      <c r="B144" s="5">
        <v>45446</v>
      </c>
      <c r="C144" s="2" t="str">
        <f t="shared" si="8"/>
        <v>June</v>
      </c>
      <c r="D144" s="2" t="str">
        <f t="shared" si="9"/>
        <v>2024</v>
      </c>
      <c r="E144" t="s">
        <v>54</v>
      </c>
      <c r="F144" t="s">
        <v>18</v>
      </c>
      <c r="G144" t="s">
        <v>24</v>
      </c>
      <c r="H144" t="s">
        <v>34</v>
      </c>
      <c r="I144">
        <v>6</v>
      </c>
      <c r="J144">
        <v>2500</v>
      </c>
      <c r="K144">
        <v>5</v>
      </c>
      <c r="L144">
        <v>15000</v>
      </c>
      <c r="M144" s="7">
        <v>14250</v>
      </c>
      <c r="N144" s="19">
        <f t="shared" si="10"/>
        <v>-334500</v>
      </c>
      <c r="O144" t="str">
        <f t="shared" si="11"/>
        <v>Normal</v>
      </c>
      <c r="P144">
        <f>_xlfn.XLOOKUP(E144,Products_Master!B:B,Products_Master!D:D)</f>
        <v>70000</v>
      </c>
    </row>
    <row r="145" spans="1:16" x14ac:dyDescent="0.35">
      <c r="A145" t="s">
        <v>177</v>
      </c>
      <c r="B145" s="5">
        <v>45448</v>
      </c>
      <c r="C145" s="2" t="str">
        <f t="shared" si="8"/>
        <v>June</v>
      </c>
      <c r="D145" s="2" t="str">
        <f t="shared" si="9"/>
        <v>2024</v>
      </c>
      <c r="E145" t="s">
        <v>17</v>
      </c>
      <c r="F145" t="s">
        <v>13</v>
      </c>
      <c r="G145" t="s">
        <v>21</v>
      </c>
      <c r="H145" t="s">
        <v>25</v>
      </c>
      <c r="I145">
        <v>7</v>
      </c>
      <c r="J145">
        <v>2500</v>
      </c>
      <c r="K145">
        <v>5</v>
      </c>
      <c r="L145">
        <v>17500</v>
      </c>
      <c r="M145" s="7">
        <v>16625</v>
      </c>
      <c r="N145" s="19">
        <f t="shared" si="10"/>
        <v>102375</v>
      </c>
      <c r="O145" t="str">
        <f t="shared" si="11"/>
        <v>Normal</v>
      </c>
      <c r="P145">
        <f>_xlfn.XLOOKUP(E145,Products_Master!B:B,Products_Master!D:D)</f>
        <v>2000</v>
      </c>
    </row>
    <row r="146" spans="1:16" x14ac:dyDescent="0.35">
      <c r="A146" t="s">
        <v>178</v>
      </c>
      <c r="B146" s="5">
        <v>45448</v>
      </c>
      <c r="C146" s="2" t="str">
        <f t="shared" si="8"/>
        <v>June</v>
      </c>
      <c r="D146" s="2" t="str">
        <f t="shared" si="9"/>
        <v>2024</v>
      </c>
      <c r="E146" t="s">
        <v>27</v>
      </c>
      <c r="F146" t="s">
        <v>18</v>
      </c>
      <c r="G146" t="s">
        <v>37</v>
      </c>
      <c r="H146" t="s">
        <v>29</v>
      </c>
      <c r="I146">
        <v>2</v>
      </c>
      <c r="J146">
        <v>15000</v>
      </c>
      <c r="K146">
        <v>10</v>
      </c>
      <c r="L146">
        <v>30000</v>
      </c>
      <c r="M146" s="7">
        <v>27000</v>
      </c>
      <c r="N146" s="19">
        <f t="shared" si="10"/>
        <v>52200</v>
      </c>
      <c r="O146" t="str">
        <f t="shared" si="11"/>
        <v>Normal</v>
      </c>
      <c r="P146">
        <f>_xlfn.XLOOKUP(E146,Products_Master!B:B,Products_Master!D:D)</f>
        <v>900</v>
      </c>
    </row>
    <row r="147" spans="1:16" x14ac:dyDescent="0.35">
      <c r="A147" t="s">
        <v>179</v>
      </c>
      <c r="B147" s="5">
        <v>45448</v>
      </c>
      <c r="C147" s="2" t="str">
        <f t="shared" si="8"/>
        <v>June</v>
      </c>
      <c r="D147" s="2" t="str">
        <f t="shared" si="9"/>
        <v>2024</v>
      </c>
      <c r="E147" t="s">
        <v>42</v>
      </c>
      <c r="F147" t="s">
        <v>18</v>
      </c>
      <c r="G147" t="s">
        <v>21</v>
      </c>
      <c r="H147" t="s">
        <v>15</v>
      </c>
      <c r="I147">
        <v>6</v>
      </c>
      <c r="J147">
        <v>85000</v>
      </c>
      <c r="K147">
        <v>0</v>
      </c>
      <c r="L147">
        <v>510000</v>
      </c>
      <c r="M147" s="7">
        <v>510000</v>
      </c>
      <c r="N147" s="19">
        <f t="shared" si="10"/>
        <v>3056400</v>
      </c>
      <c r="O147" t="str">
        <f t="shared" si="11"/>
        <v>Normal</v>
      </c>
      <c r="P147">
        <f>_xlfn.XLOOKUP(E147,Products_Master!B:B,Products_Master!D:D)</f>
        <v>600</v>
      </c>
    </row>
    <row r="148" spans="1:16" x14ac:dyDescent="0.35">
      <c r="A148" t="s">
        <v>180</v>
      </c>
      <c r="B148" s="5">
        <v>45450</v>
      </c>
      <c r="C148" s="2" t="str">
        <f t="shared" si="8"/>
        <v>June</v>
      </c>
      <c r="D148" s="2" t="str">
        <f t="shared" si="9"/>
        <v>2024</v>
      </c>
      <c r="E148" t="s">
        <v>54</v>
      </c>
      <c r="F148" t="s">
        <v>13</v>
      </c>
      <c r="G148" t="s">
        <v>21</v>
      </c>
      <c r="H148" t="s">
        <v>34</v>
      </c>
      <c r="I148">
        <v>3</v>
      </c>
      <c r="J148">
        <v>2500</v>
      </c>
      <c r="K148">
        <v>15</v>
      </c>
      <c r="L148">
        <v>7500</v>
      </c>
      <c r="M148" s="7">
        <v>6375</v>
      </c>
      <c r="N148" s="19">
        <f t="shared" si="10"/>
        <v>-190875</v>
      </c>
      <c r="O148" t="str">
        <f t="shared" si="11"/>
        <v>Normal</v>
      </c>
      <c r="P148">
        <f>_xlfn.XLOOKUP(E148,Products_Master!B:B,Products_Master!D:D)</f>
        <v>70000</v>
      </c>
    </row>
    <row r="149" spans="1:16" x14ac:dyDescent="0.35">
      <c r="A149" t="s">
        <v>181</v>
      </c>
      <c r="B149" s="5">
        <v>45450</v>
      </c>
      <c r="C149" s="2" t="str">
        <f t="shared" si="8"/>
        <v>June</v>
      </c>
      <c r="D149" s="2" t="str">
        <f t="shared" si="9"/>
        <v>2024</v>
      </c>
      <c r="E149" t="s">
        <v>54</v>
      </c>
      <c r="F149" t="s">
        <v>13</v>
      </c>
      <c r="G149" t="s">
        <v>24</v>
      </c>
      <c r="H149" t="s">
        <v>25</v>
      </c>
      <c r="I149">
        <v>3</v>
      </c>
      <c r="J149">
        <v>45000</v>
      </c>
      <c r="K149">
        <v>15</v>
      </c>
      <c r="L149">
        <v>135000</v>
      </c>
      <c r="M149" s="7">
        <v>114750</v>
      </c>
      <c r="N149" s="19">
        <f t="shared" si="10"/>
        <v>134250</v>
      </c>
      <c r="O149" t="str">
        <f t="shared" si="11"/>
        <v>Normal</v>
      </c>
      <c r="P149">
        <f>_xlfn.XLOOKUP(E149,Products_Master!B:B,Products_Master!D:D)</f>
        <v>70000</v>
      </c>
    </row>
    <row r="150" spans="1:16" x14ac:dyDescent="0.35">
      <c r="A150" t="s">
        <v>182</v>
      </c>
      <c r="B150" s="5">
        <v>45451</v>
      </c>
      <c r="C150" s="2" t="str">
        <f t="shared" si="8"/>
        <v>June</v>
      </c>
      <c r="D150" s="2" t="str">
        <f t="shared" si="9"/>
        <v>2024</v>
      </c>
      <c r="E150" t="s">
        <v>31</v>
      </c>
      <c r="F150" t="s">
        <v>13</v>
      </c>
      <c r="G150" t="s">
        <v>19</v>
      </c>
      <c r="H150" t="s">
        <v>49</v>
      </c>
      <c r="I150">
        <v>6</v>
      </c>
      <c r="J150">
        <v>45000</v>
      </c>
      <c r="K150">
        <v>0</v>
      </c>
      <c r="L150">
        <v>270000</v>
      </c>
      <c r="M150" s="7">
        <v>270000</v>
      </c>
      <c r="N150" s="19">
        <f t="shared" si="10"/>
        <v>1530000</v>
      </c>
      <c r="O150" t="str">
        <f t="shared" si="11"/>
        <v>Normal</v>
      </c>
      <c r="P150">
        <f>_xlfn.XLOOKUP(E150,Products_Master!B:B,Products_Master!D:D)</f>
        <v>15000</v>
      </c>
    </row>
    <row r="151" spans="1:16" x14ac:dyDescent="0.35">
      <c r="A151" t="s">
        <v>183</v>
      </c>
      <c r="B151" s="5">
        <v>45451</v>
      </c>
      <c r="C151" s="2" t="str">
        <f t="shared" si="8"/>
        <v>June</v>
      </c>
      <c r="D151" s="2" t="str">
        <f t="shared" si="9"/>
        <v>2024</v>
      </c>
      <c r="E151" t="s">
        <v>42</v>
      </c>
      <c r="F151" t="s">
        <v>13</v>
      </c>
      <c r="G151" t="s">
        <v>19</v>
      </c>
      <c r="H151" t="s">
        <v>29</v>
      </c>
      <c r="I151">
        <v>2</v>
      </c>
      <c r="J151">
        <v>1500</v>
      </c>
      <c r="K151">
        <v>10</v>
      </c>
      <c r="L151">
        <v>3000</v>
      </c>
      <c r="M151" s="7">
        <v>2700</v>
      </c>
      <c r="N151" s="19">
        <f t="shared" si="10"/>
        <v>4200</v>
      </c>
      <c r="O151" t="str">
        <f t="shared" si="11"/>
        <v>Normal</v>
      </c>
      <c r="P151">
        <f>_xlfn.XLOOKUP(E151,Products_Master!B:B,Products_Master!D:D)</f>
        <v>600</v>
      </c>
    </row>
    <row r="152" spans="1:16" x14ac:dyDescent="0.35">
      <c r="A152" t="s">
        <v>184</v>
      </c>
      <c r="B152" s="5">
        <v>45453</v>
      </c>
      <c r="C152" s="2" t="str">
        <f t="shared" si="8"/>
        <v>June</v>
      </c>
      <c r="D152" s="2" t="str">
        <f t="shared" si="9"/>
        <v>2024</v>
      </c>
      <c r="E152" t="s">
        <v>12</v>
      </c>
      <c r="F152" t="s">
        <v>13</v>
      </c>
      <c r="G152" t="s">
        <v>21</v>
      </c>
      <c r="H152" t="s">
        <v>49</v>
      </c>
      <c r="I152">
        <v>5</v>
      </c>
      <c r="J152">
        <v>15000</v>
      </c>
      <c r="K152">
        <v>10</v>
      </c>
      <c r="L152">
        <v>75000</v>
      </c>
      <c r="M152" s="7">
        <v>67500</v>
      </c>
      <c r="N152" s="19">
        <f t="shared" si="10"/>
        <v>162500</v>
      </c>
      <c r="O152" t="str">
        <f t="shared" si="11"/>
        <v>Normal</v>
      </c>
      <c r="P152">
        <f>_xlfn.XLOOKUP(E152,Products_Master!B:B,Products_Master!D:D)</f>
        <v>35000</v>
      </c>
    </row>
    <row r="153" spans="1:16" x14ac:dyDescent="0.35">
      <c r="A153" t="s">
        <v>185</v>
      </c>
      <c r="B153" s="5">
        <v>45453</v>
      </c>
      <c r="C153" s="2" t="str">
        <f t="shared" si="8"/>
        <v>June</v>
      </c>
      <c r="D153" s="2" t="str">
        <f t="shared" si="9"/>
        <v>2024</v>
      </c>
      <c r="E153" t="s">
        <v>31</v>
      </c>
      <c r="F153" t="s">
        <v>18</v>
      </c>
      <c r="G153" t="s">
        <v>24</v>
      </c>
      <c r="H153" t="s">
        <v>15</v>
      </c>
      <c r="I153">
        <v>3</v>
      </c>
      <c r="J153">
        <v>85000</v>
      </c>
      <c r="K153">
        <v>0</v>
      </c>
      <c r="L153">
        <v>255000</v>
      </c>
      <c r="M153" s="7">
        <v>255000</v>
      </c>
      <c r="N153" s="19">
        <f t="shared" si="10"/>
        <v>720000</v>
      </c>
      <c r="O153" t="str">
        <f t="shared" si="11"/>
        <v>Normal</v>
      </c>
      <c r="P153">
        <f>_xlfn.XLOOKUP(E153,Products_Master!B:B,Products_Master!D:D)</f>
        <v>15000</v>
      </c>
    </row>
    <row r="154" spans="1:16" x14ac:dyDescent="0.35">
      <c r="A154" t="s">
        <v>186</v>
      </c>
      <c r="B154" s="5">
        <v>45453</v>
      </c>
      <c r="C154" s="2" t="str">
        <f t="shared" si="8"/>
        <v>June</v>
      </c>
      <c r="D154" s="2" t="str">
        <f t="shared" si="9"/>
        <v>2024</v>
      </c>
      <c r="E154" t="s">
        <v>31</v>
      </c>
      <c r="F154" t="s">
        <v>18</v>
      </c>
      <c r="G154" t="s">
        <v>24</v>
      </c>
      <c r="H154" t="s">
        <v>15</v>
      </c>
      <c r="I154">
        <v>8</v>
      </c>
      <c r="J154">
        <v>1500</v>
      </c>
      <c r="K154">
        <v>0</v>
      </c>
      <c r="L154">
        <v>12000</v>
      </c>
      <c r="M154" s="7">
        <v>12000</v>
      </c>
      <c r="N154" s="19">
        <f t="shared" si="10"/>
        <v>-24000</v>
      </c>
      <c r="O154" t="str">
        <f t="shared" si="11"/>
        <v>Normal</v>
      </c>
      <c r="P154">
        <f>_xlfn.XLOOKUP(E154,Products_Master!B:B,Products_Master!D:D)</f>
        <v>15000</v>
      </c>
    </row>
    <row r="155" spans="1:16" x14ac:dyDescent="0.35">
      <c r="A155" t="s">
        <v>187</v>
      </c>
      <c r="B155" s="5">
        <v>45454</v>
      </c>
      <c r="C155" s="2" t="str">
        <f t="shared" si="8"/>
        <v>June</v>
      </c>
      <c r="D155" s="2" t="str">
        <f t="shared" si="9"/>
        <v>2024</v>
      </c>
      <c r="E155" t="s">
        <v>23</v>
      </c>
      <c r="F155" t="s">
        <v>13</v>
      </c>
      <c r="G155" t="s">
        <v>24</v>
      </c>
      <c r="H155" t="s">
        <v>29</v>
      </c>
      <c r="I155">
        <v>2</v>
      </c>
      <c r="J155">
        <v>8000</v>
      </c>
      <c r="K155">
        <v>15</v>
      </c>
      <c r="L155">
        <v>16000</v>
      </c>
      <c r="M155" s="7">
        <v>13600</v>
      </c>
      <c r="N155" s="19">
        <f t="shared" si="10"/>
        <v>-8800</v>
      </c>
      <c r="O155" t="str">
        <f t="shared" si="11"/>
        <v>Normal</v>
      </c>
      <c r="P155">
        <f>_xlfn.XLOOKUP(E155,Products_Master!B:B,Products_Master!D:D)</f>
        <v>18000</v>
      </c>
    </row>
    <row r="156" spans="1:16" x14ac:dyDescent="0.35">
      <c r="A156" t="s">
        <v>188</v>
      </c>
      <c r="B156" s="5">
        <v>45455</v>
      </c>
      <c r="C156" s="2" t="str">
        <f t="shared" si="8"/>
        <v>June</v>
      </c>
      <c r="D156" s="2" t="str">
        <f t="shared" si="9"/>
        <v>2024</v>
      </c>
      <c r="E156" t="s">
        <v>12</v>
      </c>
      <c r="F156" t="s">
        <v>18</v>
      </c>
      <c r="G156" t="s">
        <v>21</v>
      </c>
      <c r="H156" t="s">
        <v>32</v>
      </c>
      <c r="I156">
        <v>8</v>
      </c>
      <c r="J156">
        <v>1500</v>
      </c>
      <c r="K156">
        <v>5</v>
      </c>
      <c r="L156">
        <v>12000</v>
      </c>
      <c r="M156" s="7">
        <v>11400</v>
      </c>
      <c r="N156" s="19">
        <f t="shared" si="10"/>
        <v>-188800</v>
      </c>
      <c r="O156" t="str">
        <f t="shared" si="11"/>
        <v>Normal</v>
      </c>
      <c r="P156">
        <f>_xlfn.XLOOKUP(E156,Products_Master!B:B,Products_Master!D:D)</f>
        <v>35000</v>
      </c>
    </row>
    <row r="157" spans="1:16" x14ac:dyDescent="0.35">
      <c r="A157" t="s">
        <v>189</v>
      </c>
      <c r="B157" s="5">
        <v>45455</v>
      </c>
      <c r="C157" s="2" t="str">
        <f t="shared" si="8"/>
        <v>June</v>
      </c>
      <c r="D157" s="2" t="str">
        <f t="shared" si="9"/>
        <v>2024</v>
      </c>
      <c r="E157" t="s">
        <v>17</v>
      </c>
      <c r="F157" t="s">
        <v>18</v>
      </c>
      <c r="G157" t="s">
        <v>14</v>
      </c>
      <c r="H157" t="s">
        <v>25</v>
      </c>
      <c r="I157">
        <v>8</v>
      </c>
      <c r="J157">
        <v>8000</v>
      </c>
      <c r="K157">
        <v>0</v>
      </c>
      <c r="L157">
        <v>64000</v>
      </c>
      <c r="M157" s="7">
        <v>64000</v>
      </c>
      <c r="N157" s="19">
        <f t="shared" si="10"/>
        <v>496000</v>
      </c>
      <c r="O157" t="str">
        <f t="shared" si="11"/>
        <v>Normal</v>
      </c>
      <c r="P157">
        <f>_xlfn.XLOOKUP(E157,Products_Master!B:B,Products_Master!D:D)</f>
        <v>2000</v>
      </c>
    </row>
    <row r="158" spans="1:16" x14ac:dyDescent="0.35">
      <c r="A158" t="s">
        <v>190</v>
      </c>
      <c r="B158" s="5">
        <v>45455</v>
      </c>
      <c r="C158" s="2" t="str">
        <f t="shared" si="8"/>
        <v>June</v>
      </c>
      <c r="D158" s="2" t="str">
        <f t="shared" si="9"/>
        <v>2024</v>
      </c>
      <c r="E158" t="s">
        <v>42</v>
      </c>
      <c r="F158" t="s">
        <v>18</v>
      </c>
      <c r="G158" t="s">
        <v>19</v>
      </c>
      <c r="H158" t="s">
        <v>29</v>
      </c>
      <c r="I158">
        <v>2</v>
      </c>
      <c r="J158">
        <v>15000</v>
      </c>
      <c r="K158">
        <v>10</v>
      </c>
      <c r="L158">
        <v>30000</v>
      </c>
      <c r="M158" s="7">
        <v>27000</v>
      </c>
      <c r="N158" s="19">
        <f t="shared" si="10"/>
        <v>52800</v>
      </c>
      <c r="O158" t="str">
        <f t="shared" si="11"/>
        <v>Normal</v>
      </c>
      <c r="P158">
        <f>_xlfn.XLOOKUP(E158,Products_Master!B:B,Products_Master!D:D)</f>
        <v>600</v>
      </c>
    </row>
    <row r="159" spans="1:16" x14ac:dyDescent="0.35">
      <c r="A159" t="s">
        <v>191</v>
      </c>
      <c r="B159" s="5">
        <v>45457</v>
      </c>
      <c r="C159" s="2" t="str">
        <f t="shared" si="8"/>
        <v>June</v>
      </c>
      <c r="D159" s="2" t="str">
        <f t="shared" si="9"/>
        <v>2024</v>
      </c>
      <c r="E159" t="s">
        <v>31</v>
      </c>
      <c r="F159" t="s">
        <v>18</v>
      </c>
      <c r="G159" t="s">
        <v>21</v>
      </c>
      <c r="H159" t="s">
        <v>40</v>
      </c>
      <c r="I159">
        <v>8</v>
      </c>
      <c r="J159">
        <v>120000</v>
      </c>
      <c r="K159">
        <v>10</v>
      </c>
      <c r="L159">
        <v>960000</v>
      </c>
      <c r="M159" s="7">
        <v>864000</v>
      </c>
      <c r="N159" s="19">
        <f t="shared" si="10"/>
        <v>6792000</v>
      </c>
      <c r="O159" t="str">
        <f t="shared" si="11"/>
        <v>Normal</v>
      </c>
      <c r="P159">
        <f>_xlfn.XLOOKUP(E159,Products_Master!B:B,Products_Master!D:D)</f>
        <v>15000</v>
      </c>
    </row>
    <row r="160" spans="1:16" x14ac:dyDescent="0.35">
      <c r="A160" t="s">
        <v>192</v>
      </c>
      <c r="B160" s="5">
        <v>45457</v>
      </c>
      <c r="C160" s="2" t="str">
        <f t="shared" si="8"/>
        <v>June</v>
      </c>
      <c r="D160" s="2" t="str">
        <f t="shared" si="9"/>
        <v>2024</v>
      </c>
      <c r="E160" t="s">
        <v>31</v>
      </c>
      <c r="F160" t="s">
        <v>18</v>
      </c>
      <c r="G160" t="s">
        <v>14</v>
      </c>
      <c r="H160" t="s">
        <v>49</v>
      </c>
      <c r="I160">
        <v>1</v>
      </c>
      <c r="J160">
        <v>1500</v>
      </c>
      <c r="K160">
        <v>0</v>
      </c>
      <c r="L160">
        <v>1500</v>
      </c>
      <c r="M160" s="7">
        <v>1500</v>
      </c>
      <c r="N160" s="19">
        <f t="shared" si="10"/>
        <v>-13500</v>
      </c>
      <c r="O160" t="str">
        <f t="shared" si="11"/>
        <v>Normal</v>
      </c>
      <c r="P160">
        <f>_xlfn.XLOOKUP(E160,Products_Master!B:B,Products_Master!D:D)</f>
        <v>15000</v>
      </c>
    </row>
    <row r="161" spans="1:16" x14ac:dyDescent="0.35">
      <c r="A161" t="s">
        <v>193</v>
      </c>
      <c r="B161" s="5">
        <v>45458</v>
      </c>
      <c r="C161" s="2" t="str">
        <f t="shared" si="8"/>
        <v>June</v>
      </c>
      <c r="D161" s="2" t="str">
        <f t="shared" si="9"/>
        <v>2024</v>
      </c>
      <c r="E161" t="s">
        <v>17</v>
      </c>
      <c r="F161" t="s">
        <v>18</v>
      </c>
      <c r="G161" t="s">
        <v>39</v>
      </c>
      <c r="H161" t="s">
        <v>25</v>
      </c>
      <c r="I161">
        <v>5</v>
      </c>
      <c r="J161">
        <v>1500</v>
      </c>
      <c r="K161">
        <v>0</v>
      </c>
      <c r="L161">
        <v>7500</v>
      </c>
      <c r="M161" s="7">
        <v>7500</v>
      </c>
      <c r="N161" s="19">
        <f t="shared" si="10"/>
        <v>27500</v>
      </c>
      <c r="O161" t="str">
        <f t="shared" si="11"/>
        <v>Normal</v>
      </c>
      <c r="P161">
        <f>_xlfn.XLOOKUP(E161,Products_Master!B:B,Products_Master!D:D)</f>
        <v>2000</v>
      </c>
    </row>
    <row r="162" spans="1:16" x14ac:dyDescent="0.35">
      <c r="A162" t="s">
        <v>194</v>
      </c>
      <c r="B162" s="5">
        <v>45458</v>
      </c>
      <c r="C162" s="2" t="str">
        <f t="shared" si="8"/>
        <v>June</v>
      </c>
      <c r="D162" s="2" t="str">
        <f t="shared" si="9"/>
        <v>2024</v>
      </c>
      <c r="E162" t="s">
        <v>17</v>
      </c>
      <c r="F162" t="s">
        <v>13</v>
      </c>
      <c r="G162" t="s">
        <v>19</v>
      </c>
      <c r="H162" t="s">
        <v>34</v>
      </c>
      <c r="I162">
        <v>5</v>
      </c>
      <c r="J162">
        <v>2500</v>
      </c>
      <c r="K162">
        <v>10</v>
      </c>
      <c r="L162">
        <v>12500</v>
      </c>
      <c r="M162" s="7">
        <v>11250</v>
      </c>
      <c r="N162" s="19">
        <f t="shared" si="10"/>
        <v>46250</v>
      </c>
      <c r="O162" t="str">
        <f t="shared" si="11"/>
        <v>Normal</v>
      </c>
      <c r="P162">
        <f>_xlfn.XLOOKUP(E162,Products_Master!B:B,Products_Master!D:D)</f>
        <v>2000</v>
      </c>
    </row>
    <row r="163" spans="1:16" x14ac:dyDescent="0.35">
      <c r="A163" t="s">
        <v>195</v>
      </c>
      <c r="B163" s="5">
        <v>45459</v>
      </c>
      <c r="C163" s="2" t="str">
        <f t="shared" si="8"/>
        <v>June</v>
      </c>
      <c r="D163" s="2" t="str">
        <f t="shared" si="9"/>
        <v>2024</v>
      </c>
      <c r="E163" t="s">
        <v>54</v>
      </c>
      <c r="F163" t="s">
        <v>13</v>
      </c>
      <c r="G163" t="s">
        <v>19</v>
      </c>
      <c r="H163" t="s">
        <v>25</v>
      </c>
      <c r="I163">
        <v>9</v>
      </c>
      <c r="J163">
        <v>120000</v>
      </c>
      <c r="K163">
        <v>0</v>
      </c>
      <c r="L163">
        <v>1080000</v>
      </c>
      <c r="M163" s="7">
        <v>1080000</v>
      </c>
      <c r="N163" s="19">
        <f t="shared" si="10"/>
        <v>9090000</v>
      </c>
      <c r="O163" t="str">
        <f t="shared" si="11"/>
        <v>Normal</v>
      </c>
      <c r="P163">
        <f>_xlfn.XLOOKUP(E163,Products_Master!B:B,Products_Master!D:D)</f>
        <v>70000</v>
      </c>
    </row>
    <row r="164" spans="1:16" x14ac:dyDescent="0.35">
      <c r="A164" t="s">
        <v>196</v>
      </c>
      <c r="B164" s="5">
        <v>45460</v>
      </c>
      <c r="C164" s="2" t="str">
        <f t="shared" si="8"/>
        <v>June</v>
      </c>
      <c r="D164" s="2" t="str">
        <f t="shared" si="9"/>
        <v>2024</v>
      </c>
      <c r="E164" t="s">
        <v>27</v>
      </c>
      <c r="F164" t="s">
        <v>18</v>
      </c>
      <c r="G164" t="s">
        <v>19</v>
      </c>
      <c r="H164" t="s">
        <v>34</v>
      </c>
      <c r="I164">
        <v>9</v>
      </c>
      <c r="J164">
        <v>8000</v>
      </c>
      <c r="K164">
        <v>10</v>
      </c>
      <c r="L164">
        <v>72000</v>
      </c>
      <c r="M164" s="7">
        <v>64800</v>
      </c>
      <c r="N164" s="19">
        <f t="shared" si="10"/>
        <v>575100</v>
      </c>
      <c r="O164" t="str">
        <f t="shared" si="11"/>
        <v>Normal</v>
      </c>
      <c r="P164">
        <f>_xlfn.XLOOKUP(E164,Products_Master!B:B,Products_Master!D:D)</f>
        <v>900</v>
      </c>
    </row>
    <row r="165" spans="1:16" x14ac:dyDescent="0.35">
      <c r="A165" t="s">
        <v>197</v>
      </c>
      <c r="B165" s="5">
        <v>45461</v>
      </c>
      <c r="C165" s="2" t="str">
        <f t="shared" si="8"/>
        <v>June</v>
      </c>
      <c r="D165" s="2" t="str">
        <f t="shared" si="9"/>
        <v>2024</v>
      </c>
      <c r="E165" t="s">
        <v>31</v>
      </c>
      <c r="F165" t="s">
        <v>13</v>
      </c>
      <c r="G165" t="s">
        <v>24</v>
      </c>
      <c r="H165" t="s">
        <v>29</v>
      </c>
      <c r="I165">
        <v>7</v>
      </c>
      <c r="J165">
        <v>1500</v>
      </c>
      <c r="K165">
        <v>0</v>
      </c>
      <c r="L165">
        <v>10500</v>
      </c>
      <c r="M165" s="7">
        <v>10500</v>
      </c>
      <c r="N165" s="19">
        <f t="shared" si="10"/>
        <v>-31500</v>
      </c>
      <c r="O165" t="str">
        <f t="shared" si="11"/>
        <v>Normal</v>
      </c>
      <c r="P165">
        <f>_xlfn.XLOOKUP(E165,Products_Master!B:B,Products_Master!D:D)</f>
        <v>15000</v>
      </c>
    </row>
    <row r="166" spans="1:16" x14ac:dyDescent="0.35">
      <c r="A166" t="s">
        <v>198</v>
      </c>
      <c r="B166" s="5">
        <v>45462</v>
      </c>
      <c r="C166" s="2" t="str">
        <f t="shared" si="8"/>
        <v>June</v>
      </c>
      <c r="D166" s="2" t="str">
        <f t="shared" si="9"/>
        <v>2024</v>
      </c>
      <c r="E166" t="s">
        <v>36</v>
      </c>
      <c r="F166" t="s">
        <v>13</v>
      </c>
      <c r="G166" t="s">
        <v>39</v>
      </c>
      <c r="H166" t="s">
        <v>49</v>
      </c>
      <c r="I166">
        <v>6</v>
      </c>
      <c r="J166">
        <v>85000</v>
      </c>
      <c r="K166">
        <v>0</v>
      </c>
      <c r="L166">
        <v>510000</v>
      </c>
      <c r="M166" s="7">
        <v>510000</v>
      </c>
      <c r="N166" s="19">
        <f t="shared" si="10"/>
        <v>3055200</v>
      </c>
      <c r="O166" t="str">
        <f t="shared" si="11"/>
        <v>Normal</v>
      </c>
      <c r="P166">
        <f>_xlfn.XLOOKUP(E166,Products_Master!B:B,Products_Master!D:D)</f>
        <v>800</v>
      </c>
    </row>
    <row r="167" spans="1:16" x14ac:dyDescent="0.35">
      <c r="A167" t="s">
        <v>199</v>
      </c>
      <c r="B167" s="5">
        <v>45465</v>
      </c>
      <c r="C167" s="2" t="str">
        <f t="shared" si="8"/>
        <v>June</v>
      </c>
      <c r="D167" s="2" t="str">
        <f t="shared" si="9"/>
        <v>2024</v>
      </c>
      <c r="E167" t="s">
        <v>12</v>
      </c>
      <c r="F167" t="s">
        <v>18</v>
      </c>
      <c r="G167" t="s">
        <v>14</v>
      </c>
      <c r="H167" t="s">
        <v>29</v>
      </c>
      <c r="I167">
        <v>1</v>
      </c>
      <c r="J167">
        <v>15000</v>
      </c>
      <c r="K167">
        <v>0</v>
      </c>
      <c r="L167">
        <v>15000</v>
      </c>
      <c r="M167" s="7">
        <v>15000</v>
      </c>
      <c r="N167" s="19">
        <f t="shared" si="10"/>
        <v>-20000</v>
      </c>
      <c r="O167" t="str">
        <f t="shared" si="11"/>
        <v>Normal</v>
      </c>
      <c r="P167">
        <f>_xlfn.XLOOKUP(E167,Products_Master!B:B,Products_Master!D:D)</f>
        <v>35000</v>
      </c>
    </row>
    <row r="168" spans="1:16" x14ac:dyDescent="0.35">
      <c r="A168" t="s">
        <v>200</v>
      </c>
      <c r="B168" s="5">
        <v>45467</v>
      </c>
      <c r="C168" s="2" t="str">
        <f t="shared" si="8"/>
        <v>June</v>
      </c>
      <c r="D168" s="2" t="str">
        <f t="shared" si="9"/>
        <v>2024</v>
      </c>
      <c r="E168" t="s">
        <v>27</v>
      </c>
      <c r="F168" t="s">
        <v>13</v>
      </c>
      <c r="G168" t="s">
        <v>19</v>
      </c>
      <c r="H168" t="s">
        <v>40</v>
      </c>
      <c r="I168">
        <v>2</v>
      </c>
      <c r="J168">
        <v>85000</v>
      </c>
      <c r="K168">
        <v>10</v>
      </c>
      <c r="L168">
        <v>170000</v>
      </c>
      <c r="M168" s="7">
        <v>153000</v>
      </c>
      <c r="N168" s="19">
        <f t="shared" si="10"/>
        <v>304200</v>
      </c>
      <c r="O168" t="str">
        <f t="shared" si="11"/>
        <v>Normal</v>
      </c>
      <c r="P168">
        <f>_xlfn.XLOOKUP(E168,Products_Master!B:B,Products_Master!D:D)</f>
        <v>900</v>
      </c>
    </row>
    <row r="169" spans="1:16" x14ac:dyDescent="0.35">
      <c r="A169" t="s">
        <v>201</v>
      </c>
      <c r="B169" s="5">
        <v>45470</v>
      </c>
      <c r="C169" s="2" t="str">
        <f t="shared" si="8"/>
        <v>June</v>
      </c>
      <c r="D169" s="2" t="str">
        <f t="shared" si="9"/>
        <v>2024</v>
      </c>
      <c r="E169" t="s">
        <v>23</v>
      </c>
      <c r="F169" t="s">
        <v>18</v>
      </c>
      <c r="G169" t="s">
        <v>24</v>
      </c>
      <c r="H169" t="s">
        <v>15</v>
      </c>
      <c r="I169">
        <v>2</v>
      </c>
      <c r="J169">
        <v>120000</v>
      </c>
      <c r="K169">
        <v>0</v>
      </c>
      <c r="L169">
        <v>240000</v>
      </c>
      <c r="M169" s="7">
        <v>240000</v>
      </c>
      <c r="N169" s="19">
        <f t="shared" si="10"/>
        <v>444000</v>
      </c>
      <c r="O169" t="str">
        <f t="shared" si="11"/>
        <v>Normal</v>
      </c>
      <c r="P169">
        <f>_xlfn.XLOOKUP(E169,Products_Master!B:B,Products_Master!D:D)</f>
        <v>18000</v>
      </c>
    </row>
    <row r="170" spans="1:16" x14ac:dyDescent="0.35">
      <c r="A170" t="s">
        <v>202</v>
      </c>
      <c r="B170" s="5">
        <v>45472</v>
      </c>
      <c r="C170" s="2" t="str">
        <f t="shared" si="8"/>
        <v>June</v>
      </c>
      <c r="D170" s="2" t="str">
        <f t="shared" si="9"/>
        <v>2024</v>
      </c>
      <c r="E170" t="s">
        <v>23</v>
      </c>
      <c r="F170" t="s">
        <v>13</v>
      </c>
      <c r="G170" t="s">
        <v>39</v>
      </c>
      <c r="H170" t="s">
        <v>15</v>
      </c>
      <c r="I170">
        <v>4</v>
      </c>
      <c r="J170">
        <v>15000</v>
      </c>
      <c r="K170">
        <v>10</v>
      </c>
      <c r="L170">
        <v>60000</v>
      </c>
      <c r="M170" s="7">
        <v>54000</v>
      </c>
      <c r="N170" s="19">
        <f t="shared" si="10"/>
        <v>144000</v>
      </c>
      <c r="O170" t="str">
        <f t="shared" si="11"/>
        <v>Normal</v>
      </c>
      <c r="P170">
        <f>_xlfn.XLOOKUP(E170,Products_Master!B:B,Products_Master!D:D)</f>
        <v>18000</v>
      </c>
    </row>
    <row r="171" spans="1:16" x14ac:dyDescent="0.35">
      <c r="A171" t="s">
        <v>203</v>
      </c>
      <c r="B171" s="5">
        <v>45473</v>
      </c>
      <c r="C171" s="2" t="str">
        <f t="shared" si="8"/>
        <v>June</v>
      </c>
      <c r="D171" s="2" t="str">
        <f t="shared" si="9"/>
        <v>2024</v>
      </c>
      <c r="E171" t="s">
        <v>23</v>
      </c>
      <c r="F171" t="s">
        <v>18</v>
      </c>
      <c r="G171" t="s">
        <v>14</v>
      </c>
      <c r="H171" t="s">
        <v>15</v>
      </c>
      <c r="I171">
        <v>5</v>
      </c>
      <c r="J171">
        <v>45000</v>
      </c>
      <c r="K171">
        <v>10</v>
      </c>
      <c r="L171">
        <v>225000</v>
      </c>
      <c r="M171" s="7">
        <v>202500</v>
      </c>
      <c r="N171" s="19">
        <f t="shared" si="10"/>
        <v>922500</v>
      </c>
      <c r="O171" t="str">
        <f t="shared" si="11"/>
        <v>Normal</v>
      </c>
      <c r="P171">
        <f>_xlfn.XLOOKUP(E171,Products_Master!B:B,Products_Master!D:D)</f>
        <v>18000</v>
      </c>
    </row>
    <row r="172" spans="1:16" x14ac:dyDescent="0.35">
      <c r="A172" t="s">
        <v>204</v>
      </c>
      <c r="B172" s="5">
        <v>45474</v>
      </c>
      <c r="C172" s="2" t="str">
        <f t="shared" si="8"/>
        <v>July</v>
      </c>
      <c r="D172" s="2" t="str">
        <f t="shared" si="9"/>
        <v>2024</v>
      </c>
      <c r="E172" t="s">
        <v>12</v>
      </c>
      <c r="F172" t="s">
        <v>18</v>
      </c>
      <c r="G172" t="s">
        <v>24</v>
      </c>
      <c r="H172" t="s">
        <v>49</v>
      </c>
      <c r="I172">
        <v>7</v>
      </c>
      <c r="J172">
        <v>1500</v>
      </c>
      <c r="K172">
        <v>0</v>
      </c>
      <c r="L172">
        <v>10500</v>
      </c>
      <c r="M172" s="7">
        <v>10500</v>
      </c>
      <c r="N172" s="19">
        <f t="shared" si="10"/>
        <v>-171500</v>
      </c>
      <c r="O172" t="str">
        <f t="shared" si="11"/>
        <v>Normal</v>
      </c>
      <c r="P172">
        <f>_xlfn.XLOOKUP(E172,Products_Master!B:B,Products_Master!D:D)</f>
        <v>35000</v>
      </c>
    </row>
    <row r="173" spans="1:16" x14ac:dyDescent="0.35">
      <c r="A173" t="s">
        <v>205</v>
      </c>
      <c r="B173" s="5">
        <v>45474</v>
      </c>
      <c r="C173" s="2" t="str">
        <f t="shared" si="8"/>
        <v>July</v>
      </c>
      <c r="D173" s="2" t="str">
        <f t="shared" si="9"/>
        <v>2024</v>
      </c>
      <c r="E173" t="s">
        <v>42</v>
      </c>
      <c r="F173" t="s">
        <v>18</v>
      </c>
      <c r="G173" t="s">
        <v>24</v>
      </c>
      <c r="H173" t="s">
        <v>29</v>
      </c>
      <c r="I173">
        <v>3</v>
      </c>
      <c r="J173">
        <v>45000</v>
      </c>
      <c r="K173">
        <v>0</v>
      </c>
      <c r="L173">
        <v>135000</v>
      </c>
      <c r="M173" s="7">
        <v>135000</v>
      </c>
      <c r="N173" s="19">
        <f t="shared" si="10"/>
        <v>403200</v>
      </c>
      <c r="O173" t="str">
        <f t="shared" si="11"/>
        <v>Normal</v>
      </c>
      <c r="P173">
        <f>_xlfn.XLOOKUP(E173,Products_Master!B:B,Products_Master!D:D)</f>
        <v>600</v>
      </c>
    </row>
    <row r="174" spans="1:16" x14ac:dyDescent="0.35">
      <c r="A174" t="s">
        <v>206</v>
      </c>
      <c r="B174" s="5">
        <v>45475</v>
      </c>
      <c r="C174" s="2" t="str">
        <f t="shared" si="8"/>
        <v>July</v>
      </c>
      <c r="D174" s="2" t="str">
        <f t="shared" si="9"/>
        <v>2024</v>
      </c>
      <c r="E174" t="s">
        <v>36</v>
      </c>
      <c r="F174" t="s">
        <v>13</v>
      </c>
      <c r="G174" t="s">
        <v>19</v>
      </c>
      <c r="H174" t="s">
        <v>29</v>
      </c>
      <c r="I174">
        <v>1</v>
      </c>
      <c r="J174">
        <v>2500</v>
      </c>
      <c r="K174">
        <v>15</v>
      </c>
      <c r="L174">
        <v>2500</v>
      </c>
      <c r="M174" s="7">
        <v>2125</v>
      </c>
      <c r="N174" s="19">
        <f t="shared" si="10"/>
        <v>1325</v>
      </c>
      <c r="O174" t="str">
        <f t="shared" si="11"/>
        <v>Normal</v>
      </c>
      <c r="P174">
        <f>_xlfn.XLOOKUP(E174,Products_Master!B:B,Products_Master!D:D)</f>
        <v>800</v>
      </c>
    </row>
    <row r="175" spans="1:16" x14ac:dyDescent="0.35">
      <c r="A175" t="s">
        <v>207</v>
      </c>
      <c r="B175" s="5">
        <v>45479</v>
      </c>
      <c r="C175" s="2" t="str">
        <f t="shared" si="8"/>
        <v>July</v>
      </c>
      <c r="D175" s="2" t="str">
        <f t="shared" si="9"/>
        <v>2024</v>
      </c>
      <c r="E175" t="s">
        <v>31</v>
      </c>
      <c r="F175" t="s">
        <v>18</v>
      </c>
      <c r="G175" t="s">
        <v>21</v>
      </c>
      <c r="H175" t="s">
        <v>34</v>
      </c>
      <c r="I175">
        <v>9</v>
      </c>
      <c r="J175">
        <v>15000</v>
      </c>
      <c r="K175">
        <v>0</v>
      </c>
      <c r="L175">
        <v>135000</v>
      </c>
      <c r="M175" s="7">
        <v>135000</v>
      </c>
      <c r="N175" s="19">
        <f t="shared" si="10"/>
        <v>1080000</v>
      </c>
      <c r="O175" t="str">
        <f t="shared" si="11"/>
        <v>Normal</v>
      </c>
      <c r="P175">
        <f>_xlfn.XLOOKUP(E175,Products_Master!B:B,Products_Master!D:D)</f>
        <v>15000</v>
      </c>
    </row>
    <row r="176" spans="1:16" x14ac:dyDescent="0.35">
      <c r="A176" t="s">
        <v>208</v>
      </c>
      <c r="B176" s="5">
        <v>45482</v>
      </c>
      <c r="C176" s="2" t="str">
        <f t="shared" si="8"/>
        <v>July</v>
      </c>
      <c r="D176" s="2" t="str">
        <f t="shared" si="9"/>
        <v>2024</v>
      </c>
      <c r="E176" t="s">
        <v>54</v>
      </c>
      <c r="F176" t="s">
        <v>13</v>
      </c>
      <c r="G176" t="s">
        <v>37</v>
      </c>
      <c r="H176" t="s">
        <v>25</v>
      </c>
      <c r="I176">
        <v>1</v>
      </c>
      <c r="J176">
        <v>15000</v>
      </c>
      <c r="K176">
        <v>10</v>
      </c>
      <c r="L176">
        <v>15000</v>
      </c>
      <c r="M176" s="7">
        <v>13500</v>
      </c>
      <c r="N176" s="19">
        <f t="shared" si="10"/>
        <v>-56500</v>
      </c>
      <c r="O176" t="str">
        <f t="shared" si="11"/>
        <v>Normal</v>
      </c>
      <c r="P176">
        <f>_xlfn.XLOOKUP(E176,Products_Master!B:B,Products_Master!D:D)</f>
        <v>70000</v>
      </c>
    </row>
    <row r="177" spans="1:16" x14ac:dyDescent="0.35">
      <c r="A177" t="s">
        <v>209</v>
      </c>
      <c r="B177" s="5">
        <v>45486</v>
      </c>
      <c r="C177" s="2" t="str">
        <f t="shared" si="8"/>
        <v>July</v>
      </c>
      <c r="D177" s="2" t="str">
        <f t="shared" si="9"/>
        <v>2024</v>
      </c>
      <c r="E177" t="s">
        <v>27</v>
      </c>
      <c r="F177" t="s">
        <v>13</v>
      </c>
      <c r="G177" t="s">
        <v>39</v>
      </c>
      <c r="H177" t="s">
        <v>34</v>
      </c>
      <c r="I177">
        <v>2</v>
      </c>
      <c r="J177">
        <v>8000</v>
      </c>
      <c r="K177">
        <v>0</v>
      </c>
      <c r="L177">
        <v>16000</v>
      </c>
      <c r="M177" s="7">
        <v>16000</v>
      </c>
      <c r="N177" s="19">
        <f t="shared" si="10"/>
        <v>30200</v>
      </c>
      <c r="O177" t="str">
        <f t="shared" si="11"/>
        <v>Normal</v>
      </c>
      <c r="P177">
        <f>_xlfn.XLOOKUP(E177,Products_Master!B:B,Products_Master!D:D)</f>
        <v>900</v>
      </c>
    </row>
    <row r="178" spans="1:16" x14ac:dyDescent="0.35">
      <c r="A178" t="s">
        <v>210</v>
      </c>
      <c r="B178" s="5">
        <v>45486</v>
      </c>
      <c r="C178" s="2" t="str">
        <f t="shared" si="8"/>
        <v>July</v>
      </c>
      <c r="D178" s="2" t="str">
        <f t="shared" si="9"/>
        <v>2024</v>
      </c>
      <c r="E178" t="s">
        <v>17</v>
      </c>
      <c r="F178" t="s">
        <v>18</v>
      </c>
      <c r="G178" t="s">
        <v>37</v>
      </c>
      <c r="H178" t="s">
        <v>25</v>
      </c>
      <c r="I178">
        <v>3</v>
      </c>
      <c r="J178">
        <v>2500</v>
      </c>
      <c r="K178">
        <v>0</v>
      </c>
      <c r="L178">
        <v>7500</v>
      </c>
      <c r="M178" s="7">
        <v>7500</v>
      </c>
      <c r="N178" s="19">
        <f t="shared" si="10"/>
        <v>16500</v>
      </c>
      <c r="O178" t="str">
        <f t="shared" si="11"/>
        <v>Normal</v>
      </c>
      <c r="P178">
        <f>_xlfn.XLOOKUP(E178,Products_Master!B:B,Products_Master!D:D)</f>
        <v>2000</v>
      </c>
    </row>
    <row r="179" spans="1:16" x14ac:dyDescent="0.35">
      <c r="A179" t="s">
        <v>211</v>
      </c>
      <c r="B179" s="5">
        <v>45486</v>
      </c>
      <c r="C179" s="2" t="str">
        <f t="shared" si="8"/>
        <v>July</v>
      </c>
      <c r="D179" s="2" t="str">
        <f t="shared" si="9"/>
        <v>2024</v>
      </c>
      <c r="E179" t="s">
        <v>36</v>
      </c>
      <c r="F179" t="s">
        <v>18</v>
      </c>
      <c r="G179" t="s">
        <v>24</v>
      </c>
      <c r="H179" t="s">
        <v>32</v>
      </c>
      <c r="I179">
        <v>2</v>
      </c>
      <c r="J179">
        <v>15000</v>
      </c>
      <c r="K179">
        <v>5</v>
      </c>
      <c r="L179">
        <v>30000</v>
      </c>
      <c r="M179" s="7">
        <v>28500</v>
      </c>
      <c r="N179" s="19">
        <f t="shared" si="10"/>
        <v>55400</v>
      </c>
      <c r="O179" t="str">
        <f t="shared" si="11"/>
        <v>Normal</v>
      </c>
      <c r="P179">
        <f>_xlfn.XLOOKUP(E179,Products_Master!B:B,Products_Master!D:D)</f>
        <v>800</v>
      </c>
    </row>
    <row r="180" spans="1:16" x14ac:dyDescent="0.35">
      <c r="A180" t="s">
        <v>212</v>
      </c>
      <c r="B180" s="5">
        <v>45486</v>
      </c>
      <c r="C180" s="2" t="str">
        <f t="shared" si="8"/>
        <v>July</v>
      </c>
      <c r="D180" s="2" t="str">
        <f t="shared" si="9"/>
        <v>2024</v>
      </c>
      <c r="E180" t="s">
        <v>12</v>
      </c>
      <c r="F180" t="s">
        <v>13</v>
      </c>
      <c r="G180" t="s">
        <v>37</v>
      </c>
      <c r="H180" t="s">
        <v>25</v>
      </c>
      <c r="I180">
        <v>1</v>
      </c>
      <c r="J180">
        <v>2500</v>
      </c>
      <c r="K180">
        <v>10</v>
      </c>
      <c r="L180">
        <v>2500</v>
      </c>
      <c r="M180" s="7">
        <v>2250</v>
      </c>
      <c r="N180" s="19">
        <f t="shared" si="10"/>
        <v>-32750</v>
      </c>
      <c r="O180" t="str">
        <f t="shared" si="11"/>
        <v>Normal</v>
      </c>
      <c r="P180">
        <f>_xlfn.XLOOKUP(E180,Products_Master!B:B,Products_Master!D:D)</f>
        <v>35000</v>
      </c>
    </row>
    <row r="181" spans="1:16" x14ac:dyDescent="0.35">
      <c r="A181" t="s">
        <v>213</v>
      </c>
      <c r="B181" s="5">
        <v>45488</v>
      </c>
      <c r="C181" s="2" t="str">
        <f t="shared" si="8"/>
        <v>July</v>
      </c>
      <c r="D181" s="2" t="str">
        <f t="shared" si="9"/>
        <v>2024</v>
      </c>
      <c r="E181" t="s">
        <v>54</v>
      </c>
      <c r="F181" t="s">
        <v>13</v>
      </c>
      <c r="G181" t="s">
        <v>39</v>
      </c>
      <c r="H181" t="s">
        <v>29</v>
      </c>
      <c r="I181">
        <v>3</v>
      </c>
      <c r="J181">
        <v>45000</v>
      </c>
      <c r="K181">
        <v>10</v>
      </c>
      <c r="L181">
        <v>135000</v>
      </c>
      <c r="M181" s="7">
        <v>121500</v>
      </c>
      <c r="N181" s="19">
        <f t="shared" si="10"/>
        <v>154500</v>
      </c>
      <c r="O181" t="str">
        <f t="shared" si="11"/>
        <v>Normal</v>
      </c>
      <c r="P181">
        <f>_xlfn.XLOOKUP(E181,Products_Master!B:B,Products_Master!D:D)</f>
        <v>70000</v>
      </c>
    </row>
    <row r="182" spans="1:16" x14ac:dyDescent="0.35">
      <c r="A182" t="s">
        <v>214</v>
      </c>
      <c r="B182" s="5">
        <v>45488</v>
      </c>
      <c r="C182" s="2" t="str">
        <f t="shared" si="8"/>
        <v>July</v>
      </c>
      <c r="D182" s="2" t="str">
        <f t="shared" si="9"/>
        <v>2024</v>
      </c>
      <c r="E182" t="s">
        <v>12</v>
      </c>
      <c r="F182" t="s">
        <v>13</v>
      </c>
      <c r="G182" t="s">
        <v>39</v>
      </c>
      <c r="H182" t="s">
        <v>34</v>
      </c>
      <c r="I182">
        <v>8</v>
      </c>
      <c r="J182">
        <v>8000</v>
      </c>
      <c r="K182">
        <v>0</v>
      </c>
      <c r="L182">
        <v>64000</v>
      </c>
      <c r="M182" s="7">
        <v>64000</v>
      </c>
      <c r="N182" s="19">
        <f t="shared" si="10"/>
        <v>232000</v>
      </c>
      <c r="O182" t="str">
        <f t="shared" si="11"/>
        <v>Normal</v>
      </c>
      <c r="P182">
        <f>_xlfn.XLOOKUP(E182,Products_Master!B:B,Products_Master!D:D)</f>
        <v>35000</v>
      </c>
    </row>
    <row r="183" spans="1:16" x14ac:dyDescent="0.35">
      <c r="A183" t="s">
        <v>215</v>
      </c>
      <c r="B183" s="5">
        <v>45488</v>
      </c>
      <c r="C183" s="2" t="str">
        <f t="shared" si="8"/>
        <v>July</v>
      </c>
      <c r="D183" s="2" t="str">
        <f t="shared" si="9"/>
        <v>2024</v>
      </c>
      <c r="E183" t="s">
        <v>31</v>
      </c>
      <c r="F183" t="s">
        <v>18</v>
      </c>
      <c r="G183" t="s">
        <v>24</v>
      </c>
      <c r="H183" t="s">
        <v>49</v>
      </c>
      <c r="I183">
        <v>8</v>
      </c>
      <c r="J183">
        <v>15000</v>
      </c>
      <c r="K183">
        <v>0</v>
      </c>
      <c r="L183">
        <v>120000</v>
      </c>
      <c r="M183" s="7">
        <v>120000</v>
      </c>
      <c r="N183" s="19">
        <f t="shared" si="10"/>
        <v>840000</v>
      </c>
      <c r="O183" t="str">
        <f t="shared" si="11"/>
        <v>Normal</v>
      </c>
      <c r="P183">
        <f>_xlfn.XLOOKUP(E183,Products_Master!B:B,Products_Master!D:D)</f>
        <v>15000</v>
      </c>
    </row>
    <row r="184" spans="1:16" x14ac:dyDescent="0.35">
      <c r="A184" t="s">
        <v>216</v>
      </c>
      <c r="B184" s="5">
        <v>45489</v>
      </c>
      <c r="C184" s="2" t="str">
        <f t="shared" si="8"/>
        <v>July</v>
      </c>
      <c r="D184" s="2" t="str">
        <f t="shared" si="9"/>
        <v>2024</v>
      </c>
      <c r="E184" t="s">
        <v>31</v>
      </c>
      <c r="F184" t="s">
        <v>13</v>
      </c>
      <c r="G184" t="s">
        <v>21</v>
      </c>
      <c r="H184" t="s">
        <v>49</v>
      </c>
      <c r="I184">
        <v>2</v>
      </c>
      <c r="J184">
        <v>15000</v>
      </c>
      <c r="K184">
        <v>15</v>
      </c>
      <c r="L184">
        <v>30000</v>
      </c>
      <c r="M184" s="7">
        <v>25500</v>
      </c>
      <c r="N184" s="19">
        <f t="shared" si="10"/>
        <v>21000</v>
      </c>
      <c r="O184" t="str">
        <f t="shared" si="11"/>
        <v>Normal</v>
      </c>
      <c r="P184">
        <f>_xlfn.XLOOKUP(E184,Products_Master!B:B,Products_Master!D:D)</f>
        <v>15000</v>
      </c>
    </row>
    <row r="185" spans="1:16" x14ac:dyDescent="0.35">
      <c r="A185" t="s">
        <v>217</v>
      </c>
      <c r="B185" s="5">
        <v>45491</v>
      </c>
      <c r="C185" s="2" t="str">
        <f t="shared" si="8"/>
        <v>July</v>
      </c>
      <c r="D185" s="2" t="str">
        <f t="shared" si="9"/>
        <v>2024</v>
      </c>
      <c r="E185" t="s">
        <v>31</v>
      </c>
      <c r="F185" t="s">
        <v>13</v>
      </c>
      <c r="G185" t="s">
        <v>21</v>
      </c>
      <c r="H185" t="s">
        <v>40</v>
      </c>
      <c r="I185">
        <v>5</v>
      </c>
      <c r="J185">
        <v>120000</v>
      </c>
      <c r="K185">
        <v>5</v>
      </c>
      <c r="L185">
        <v>600000</v>
      </c>
      <c r="M185" s="7">
        <v>570000</v>
      </c>
      <c r="N185" s="19">
        <f t="shared" si="10"/>
        <v>2775000</v>
      </c>
      <c r="O185" t="str">
        <f t="shared" si="11"/>
        <v>Normal</v>
      </c>
      <c r="P185">
        <f>_xlfn.XLOOKUP(E185,Products_Master!B:B,Products_Master!D:D)</f>
        <v>15000</v>
      </c>
    </row>
    <row r="186" spans="1:16" x14ac:dyDescent="0.35">
      <c r="A186" t="s">
        <v>218</v>
      </c>
      <c r="B186" s="5">
        <v>45493</v>
      </c>
      <c r="C186" s="2" t="str">
        <f t="shared" si="8"/>
        <v>July</v>
      </c>
      <c r="D186" s="2" t="str">
        <f t="shared" si="9"/>
        <v>2024</v>
      </c>
      <c r="E186" t="s">
        <v>36</v>
      </c>
      <c r="F186" t="s">
        <v>18</v>
      </c>
      <c r="G186" t="s">
        <v>19</v>
      </c>
      <c r="H186" t="s">
        <v>32</v>
      </c>
      <c r="I186">
        <v>2</v>
      </c>
      <c r="J186">
        <v>120000</v>
      </c>
      <c r="K186">
        <v>0</v>
      </c>
      <c r="L186">
        <v>240000</v>
      </c>
      <c r="M186" s="7">
        <v>240000</v>
      </c>
      <c r="N186" s="19">
        <f t="shared" si="10"/>
        <v>478400</v>
      </c>
      <c r="O186" t="str">
        <f t="shared" si="11"/>
        <v>Normal</v>
      </c>
      <c r="P186">
        <f>_xlfn.XLOOKUP(E186,Products_Master!B:B,Products_Master!D:D)</f>
        <v>800</v>
      </c>
    </row>
    <row r="187" spans="1:16" x14ac:dyDescent="0.35">
      <c r="A187" t="s">
        <v>219</v>
      </c>
      <c r="B187" s="5">
        <v>45495</v>
      </c>
      <c r="C187" s="2" t="str">
        <f t="shared" si="8"/>
        <v>July</v>
      </c>
      <c r="D187" s="2" t="str">
        <f t="shared" si="9"/>
        <v>2024</v>
      </c>
      <c r="E187" t="s">
        <v>12</v>
      </c>
      <c r="F187" t="s">
        <v>13</v>
      </c>
      <c r="G187" t="s">
        <v>24</v>
      </c>
      <c r="H187" t="s">
        <v>25</v>
      </c>
      <c r="I187">
        <v>6</v>
      </c>
      <c r="J187">
        <v>45000</v>
      </c>
      <c r="K187">
        <v>0</v>
      </c>
      <c r="L187">
        <v>270000</v>
      </c>
      <c r="M187" s="7">
        <v>270000</v>
      </c>
      <c r="N187" s="19">
        <f t="shared" si="10"/>
        <v>1410000</v>
      </c>
      <c r="O187" t="str">
        <f t="shared" si="11"/>
        <v>Normal</v>
      </c>
      <c r="P187">
        <f>_xlfn.XLOOKUP(E187,Products_Master!B:B,Products_Master!D:D)</f>
        <v>35000</v>
      </c>
    </row>
    <row r="188" spans="1:16" x14ac:dyDescent="0.35">
      <c r="A188" t="s">
        <v>220</v>
      </c>
      <c r="B188" s="5">
        <v>45495</v>
      </c>
      <c r="C188" s="2" t="str">
        <f t="shared" si="8"/>
        <v>July</v>
      </c>
      <c r="D188" s="2" t="str">
        <f t="shared" si="9"/>
        <v>2024</v>
      </c>
      <c r="E188" t="s">
        <v>54</v>
      </c>
      <c r="F188" t="s">
        <v>13</v>
      </c>
      <c r="G188" t="s">
        <v>21</v>
      </c>
      <c r="H188" t="s">
        <v>40</v>
      </c>
      <c r="I188">
        <v>3</v>
      </c>
      <c r="J188">
        <v>45000</v>
      </c>
      <c r="K188">
        <v>0</v>
      </c>
      <c r="L188">
        <v>135000</v>
      </c>
      <c r="M188" s="7">
        <v>135000</v>
      </c>
      <c r="N188" s="19">
        <f t="shared" si="10"/>
        <v>195000</v>
      </c>
      <c r="O188" t="str">
        <f t="shared" si="11"/>
        <v>Normal</v>
      </c>
      <c r="P188">
        <f>_xlfn.XLOOKUP(E188,Products_Master!B:B,Products_Master!D:D)</f>
        <v>70000</v>
      </c>
    </row>
    <row r="189" spans="1:16" x14ac:dyDescent="0.35">
      <c r="A189" t="s">
        <v>221</v>
      </c>
      <c r="B189" s="5">
        <v>45495</v>
      </c>
      <c r="C189" s="2" t="str">
        <f t="shared" si="8"/>
        <v>July</v>
      </c>
      <c r="D189" s="2" t="str">
        <f t="shared" si="9"/>
        <v>2024</v>
      </c>
      <c r="E189" t="s">
        <v>17</v>
      </c>
      <c r="F189" t="s">
        <v>18</v>
      </c>
      <c r="G189" t="s">
        <v>39</v>
      </c>
      <c r="H189" t="s">
        <v>25</v>
      </c>
      <c r="I189">
        <v>2</v>
      </c>
      <c r="J189">
        <v>120000</v>
      </c>
      <c r="K189">
        <v>0</v>
      </c>
      <c r="L189">
        <v>240000</v>
      </c>
      <c r="M189" s="7">
        <v>240000</v>
      </c>
      <c r="N189" s="19">
        <f t="shared" si="10"/>
        <v>476000</v>
      </c>
      <c r="O189" t="str">
        <f t="shared" si="11"/>
        <v>Normal</v>
      </c>
      <c r="P189">
        <f>_xlfn.XLOOKUP(E189,Products_Master!B:B,Products_Master!D:D)</f>
        <v>2000</v>
      </c>
    </row>
    <row r="190" spans="1:16" x14ac:dyDescent="0.35">
      <c r="A190" t="s">
        <v>222</v>
      </c>
      <c r="B190" s="5">
        <v>45496</v>
      </c>
      <c r="C190" s="2" t="str">
        <f t="shared" si="8"/>
        <v>July</v>
      </c>
      <c r="D190" s="2" t="str">
        <f t="shared" si="9"/>
        <v>2024</v>
      </c>
      <c r="E190" t="s">
        <v>17</v>
      </c>
      <c r="F190" t="s">
        <v>18</v>
      </c>
      <c r="G190" t="s">
        <v>39</v>
      </c>
      <c r="H190" t="s">
        <v>34</v>
      </c>
      <c r="I190">
        <v>8</v>
      </c>
      <c r="J190">
        <v>15000</v>
      </c>
      <c r="K190">
        <v>0</v>
      </c>
      <c r="L190">
        <v>120000</v>
      </c>
      <c r="M190" s="7">
        <v>120000</v>
      </c>
      <c r="N190" s="19">
        <f t="shared" si="10"/>
        <v>944000</v>
      </c>
      <c r="O190" t="str">
        <f t="shared" si="11"/>
        <v>Normal</v>
      </c>
      <c r="P190">
        <f>_xlfn.XLOOKUP(E190,Products_Master!B:B,Products_Master!D:D)</f>
        <v>2000</v>
      </c>
    </row>
    <row r="191" spans="1:16" x14ac:dyDescent="0.35">
      <c r="A191" t="s">
        <v>223</v>
      </c>
      <c r="B191" s="5">
        <v>45497</v>
      </c>
      <c r="C191" s="2" t="str">
        <f t="shared" si="8"/>
        <v>July</v>
      </c>
      <c r="D191" s="2" t="str">
        <f t="shared" si="9"/>
        <v>2024</v>
      </c>
      <c r="E191" t="s">
        <v>54</v>
      </c>
      <c r="F191" t="s">
        <v>18</v>
      </c>
      <c r="G191" t="s">
        <v>37</v>
      </c>
      <c r="H191" t="s">
        <v>40</v>
      </c>
      <c r="I191">
        <v>6</v>
      </c>
      <c r="J191">
        <v>1500</v>
      </c>
      <c r="K191">
        <v>0</v>
      </c>
      <c r="L191">
        <v>9000</v>
      </c>
      <c r="M191" s="7">
        <v>9000</v>
      </c>
      <c r="N191" s="19">
        <f t="shared" si="10"/>
        <v>-366000</v>
      </c>
      <c r="O191" t="str">
        <f t="shared" si="11"/>
        <v>Normal</v>
      </c>
      <c r="P191">
        <f>_xlfn.XLOOKUP(E191,Products_Master!B:B,Products_Master!D:D)</f>
        <v>70000</v>
      </c>
    </row>
    <row r="192" spans="1:16" x14ac:dyDescent="0.35">
      <c r="A192" t="s">
        <v>224</v>
      </c>
      <c r="B192" s="5">
        <v>45500</v>
      </c>
      <c r="C192" s="2" t="str">
        <f t="shared" si="8"/>
        <v>July</v>
      </c>
      <c r="D192" s="2" t="str">
        <f t="shared" si="9"/>
        <v>2024</v>
      </c>
      <c r="E192" t="s">
        <v>12</v>
      </c>
      <c r="F192" t="s">
        <v>13</v>
      </c>
      <c r="G192" t="s">
        <v>14</v>
      </c>
      <c r="H192" t="s">
        <v>49</v>
      </c>
      <c r="I192">
        <v>3</v>
      </c>
      <c r="J192">
        <v>120000</v>
      </c>
      <c r="K192">
        <v>10</v>
      </c>
      <c r="L192">
        <v>360000</v>
      </c>
      <c r="M192" s="7">
        <v>324000</v>
      </c>
      <c r="N192" s="19">
        <f t="shared" si="10"/>
        <v>867000</v>
      </c>
      <c r="O192" t="str">
        <f t="shared" si="11"/>
        <v>Normal</v>
      </c>
      <c r="P192">
        <f>_xlfn.XLOOKUP(E192,Products_Master!B:B,Products_Master!D:D)</f>
        <v>35000</v>
      </c>
    </row>
    <row r="193" spans="1:16" x14ac:dyDescent="0.35">
      <c r="A193" t="s">
        <v>225</v>
      </c>
      <c r="B193" s="5">
        <v>45501</v>
      </c>
      <c r="C193" s="2" t="str">
        <f t="shared" si="8"/>
        <v>July</v>
      </c>
      <c r="D193" s="2" t="str">
        <f t="shared" si="9"/>
        <v>2024</v>
      </c>
      <c r="E193" t="s">
        <v>27</v>
      </c>
      <c r="F193" t="s">
        <v>18</v>
      </c>
      <c r="G193" t="s">
        <v>19</v>
      </c>
      <c r="H193" t="s">
        <v>32</v>
      </c>
      <c r="I193">
        <v>5</v>
      </c>
      <c r="J193">
        <v>8000</v>
      </c>
      <c r="K193">
        <v>0</v>
      </c>
      <c r="L193">
        <v>40000</v>
      </c>
      <c r="M193" s="7">
        <v>40000</v>
      </c>
      <c r="N193" s="19">
        <f t="shared" si="10"/>
        <v>195500</v>
      </c>
      <c r="O193" t="str">
        <f t="shared" si="11"/>
        <v>Normal</v>
      </c>
      <c r="P193">
        <f>_xlfn.XLOOKUP(E193,Products_Master!B:B,Products_Master!D:D)</f>
        <v>900</v>
      </c>
    </row>
    <row r="194" spans="1:16" x14ac:dyDescent="0.35">
      <c r="A194" t="s">
        <v>226</v>
      </c>
      <c r="B194" s="5">
        <v>45503</v>
      </c>
      <c r="C194" s="2" t="str">
        <f t="shared" si="8"/>
        <v>July</v>
      </c>
      <c r="D194" s="2" t="str">
        <f t="shared" si="9"/>
        <v>2024</v>
      </c>
      <c r="E194" t="s">
        <v>31</v>
      </c>
      <c r="F194" t="s">
        <v>18</v>
      </c>
      <c r="G194" t="s">
        <v>37</v>
      </c>
      <c r="H194" t="s">
        <v>34</v>
      </c>
      <c r="I194">
        <v>4</v>
      </c>
      <c r="J194">
        <v>45000</v>
      </c>
      <c r="K194">
        <v>5</v>
      </c>
      <c r="L194">
        <v>180000</v>
      </c>
      <c r="M194" s="7">
        <v>171000</v>
      </c>
      <c r="N194" s="19">
        <f t="shared" si="10"/>
        <v>624000</v>
      </c>
      <c r="O194" t="str">
        <f t="shared" si="11"/>
        <v>Normal</v>
      </c>
      <c r="P194">
        <f>_xlfn.XLOOKUP(E194,Products_Master!B:B,Products_Master!D:D)</f>
        <v>15000</v>
      </c>
    </row>
    <row r="195" spans="1:16" x14ac:dyDescent="0.35">
      <c r="A195" t="s">
        <v>227</v>
      </c>
      <c r="B195" s="5">
        <v>45506</v>
      </c>
      <c r="C195" s="2" t="str">
        <f t="shared" ref="C195:C258" si="12">TEXT(B195,"MMMM")</f>
        <v>August</v>
      </c>
      <c r="D195" s="2" t="str">
        <f t="shared" ref="D195:D258" si="13">TEXT(B195,"yyy")</f>
        <v>2024</v>
      </c>
      <c r="E195" t="s">
        <v>23</v>
      </c>
      <c r="F195" t="s">
        <v>18</v>
      </c>
      <c r="G195" t="s">
        <v>21</v>
      </c>
      <c r="H195" t="s">
        <v>29</v>
      </c>
      <c r="I195">
        <v>4</v>
      </c>
      <c r="J195">
        <v>1500</v>
      </c>
      <c r="K195">
        <v>0</v>
      </c>
      <c r="L195">
        <v>6000</v>
      </c>
      <c r="M195" s="7">
        <v>6000</v>
      </c>
      <c r="N195" s="19">
        <f t="shared" ref="N195:N258" si="14">(M195-P195)*I195</f>
        <v>-48000</v>
      </c>
      <c r="O195" t="str">
        <f t="shared" ref="O195:O258" si="15">IF(K195=15%,"Very High ",IF(K195=10%,"High Discount","Normal"))</f>
        <v>Normal</v>
      </c>
      <c r="P195">
        <f>_xlfn.XLOOKUP(E195,Products_Master!B:B,Products_Master!D:D)</f>
        <v>18000</v>
      </c>
    </row>
    <row r="196" spans="1:16" x14ac:dyDescent="0.35">
      <c r="A196" t="s">
        <v>228</v>
      </c>
      <c r="B196" s="5">
        <v>45507</v>
      </c>
      <c r="C196" s="2" t="str">
        <f t="shared" si="12"/>
        <v>August</v>
      </c>
      <c r="D196" s="2" t="str">
        <f t="shared" si="13"/>
        <v>2024</v>
      </c>
      <c r="E196" t="s">
        <v>42</v>
      </c>
      <c r="F196" t="s">
        <v>18</v>
      </c>
      <c r="G196" t="s">
        <v>24</v>
      </c>
      <c r="H196" t="s">
        <v>15</v>
      </c>
      <c r="I196">
        <v>9</v>
      </c>
      <c r="J196">
        <v>2500</v>
      </c>
      <c r="K196">
        <v>0</v>
      </c>
      <c r="L196">
        <v>22500</v>
      </c>
      <c r="M196" s="7">
        <v>22500</v>
      </c>
      <c r="N196" s="19">
        <f t="shared" si="14"/>
        <v>197100</v>
      </c>
      <c r="O196" t="str">
        <f t="shared" si="15"/>
        <v>Normal</v>
      </c>
      <c r="P196">
        <f>_xlfn.XLOOKUP(E196,Products_Master!B:B,Products_Master!D:D)</f>
        <v>600</v>
      </c>
    </row>
    <row r="197" spans="1:16" x14ac:dyDescent="0.35">
      <c r="A197" t="s">
        <v>229</v>
      </c>
      <c r="B197" s="5">
        <v>45507</v>
      </c>
      <c r="C197" s="2" t="str">
        <f t="shared" si="12"/>
        <v>August</v>
      </c>
      <c r="D197" s="2" t="str">
        <f t="shared" si="13"/>
        <v>2024</v>
      </c>
      <c r="E197" t="s">
        <v>17</v>
      </c>
      <c r="F197" t="s">
        <v>13</v>
      </c>
      <c r="G197" t="s">
        <v>39</v>
      </c>
      <c r="H197" t="s">
        <v>32</v>
      </c>
      <c r="I197">
        <v>6</v>
      </c>
      <c r="J197">
        <v>1500</v>
      </c>
      <c r="K197">
        <v>0</v>
      </c>
      <c r="L197">
        <v>9000</v>
      </c>
      <c r="M197" s="7">
        <v>9000</v>
      </c>
      <c r="N197" s="19">
        <f t="shared" si="14"/>
        <v>42000</v>
      </c>
      <c r="O197" t="str">
        <f t="shared" si="15"/>
        <v>Normal</v>
      </c>
      <c r="P197">
        <f>_xlfn.XLOOKUP(E197,Products_Master!B:B,Products_Master!D:D)</f>
        <v>2000</v>
      </c>
    </row>
    <row r="198" spans="1:16" x14ac:dyDescent="0.35">
      <c r="A198" t="s">
        <v>230</v>
      </c>
      <c r="B198" s="5">
        <v>45507</v>
      </c>
      <c r="C198" s="2" t="str">
        <f t="shared" si="12"/>
        <v>August</v>
      </c>
      <c r="D198" s="2" t="str">
        <f t="shared" si="13"/>
        <v>2024</v>
      </c>
      <c r="E198" t="s">
        <v>54</v>
      </c>
      <c r="F198" t="s">
        <v>13</v>
      </c>
      <c r="G198" t="s">
        <v>14</v>
      </c>
      <c r="H198" t="s">
        <v>34</v>
      </c>
      <c r="I198">
        <v>9</v>
      </c>
      <c r="J198">
        <v>15000</v>
      </c>
      <c r="K198">
        <v>0</v>
      </c>
      <c r="L198">
        <v>135000</v>
      </c>
      <c r="M198" s="7">
        <v>135000</v>
      </c>
      <c r="N198" s="19">
        <f t="shared" si="14"/>
        <v>585000</v>
      </c>
      <c r="O198" t="str">
        <f t="shared" si="15"/>
        <v>Normal</v>
      </c>
      <c r="P198">
        <f>_xlfn.XLOOKUP(E198,Products_Master!B:B,Products_Master!D:D)</f>
        <v>70000</v>
      </c>
    </row>
    <row r="199" spans="1:16" x14ac:dyDescent="0.35">
      <c r="A199" t="s">
        <v>231</v>
      </c>
      <c r="B199" s="5">
        <v>45508</v>
      </c>
      <c r="C199" s="2" t="str">
        <f t="shared" si="12"/>
        <v>August</v>
      </c>
      <c r="D199" s="2" t="str">
        <f t="shared" si="13"/>
        <v>2024</v>
      </c>
      <c r="E199" t="s">
        <v>23</v>
      </c>
      <c r="F199" t="s">
        <v>13</v>
      </c>
      <c r="G199" t="s">
        <v>39</v>
      </c>
      <c r="H199" t="s">
        <v>15</v>
      </c>
      <c r="I199">
        <v>9</v>
      </c>
      <c r="J199">
        <v>2500</v>
      </c>
      <c r="K199">
        <v>15</v>
      </c>
      <c r="L199">
        <v>22500</v>
      </c>
      <c r="M199" s="7">
        <v>19125</v>
      </c>
      <c r="N199" s="19">
        <f t="shared" si="14"/>
        <v>10125</v>
      </c>
      <c r="O199" t="str">
        <f t="shared" si="15"/>
        <v>Normal</v>
      </c>
      <c r="P199">
        <f>_xlfn.XLOOKUP(E199,Products_Master!B:B,Products_Master!D:D)</f>
        <v>18000</v>
      </c>
    </row>
    <row r="200" spans="1:16" x14ac:dyDescent="0.35">
      <c r="A200" t="s">
        <v>232</v>
      </c>
      <c r="B200" s="5">
        <v>45508</v>
      </c>
      <c r="C200" s="2" t="str">
        <f t="shared" si="12"/>
        <v>August</v>
      </c>
      <c r="D200" s="2" t="str">
        <f t="shared" si="13"/>
        <v>2024</v>
      </c>
      <c r="E200" t="s">
        <v>17</v>
      </c>
      <c r="F200" t="s">
        <v>13</v>
      </c>
      <c r="G200" t="s">
        <v>37</v>
      </c>
      <c r="H200" t="s">
        <v>34</v>
      </c>
      <c r="I200">
        <v>4</v>
      </c>
      <c r="J200">
        <v>8000</v>
      </c>
      <c r="K200">
        <v>5</v>
      </c>
      <c r="L200">
        <v>32000</v>
      </c>
      <c r="M200" s="7">
        <v>30400</v>
      </c>
      <c r="N200" s="19">
        <f t="shared" si="14"/>
        <v>113600</v>
      </c>
      <c r="O200" t="str">
        <f t="shared" si="15"/>
        <v>Normal</v>
      </c>
      <c r="P200">
        <f>_xlfn.XLOOKUP(E200,Products_Master!B:B,Products_Master!D:D)</f>
        <v>2000</v>
      </c>
    </row>
    <row r="201" spans="1:16" x14ac:dyDescent="0.35">
      <c r="A201" t="s">
        <v>233</v>
      </c>
      <c r="B201" s="5">
        <v>45509</v>
      </c>
      <c r="C201" s="2" t="str">
        <f t="shared" si="12"/>
        <v>August</v>
      </c>
      <c r="D201" s="2" t="str">
        <f t="shared" si="13"/>
        <v>2024</v>
      </c>
      <c r="E201" t="s">
        <v>27</v>
      </c>
      <c r="F201" t="s">
        <v>18</v>
      </c>
      <c r="G201" t="s">
        <v>19</v>
      </c>
      <c r="H201" t="s">
        <v>40</v>
      </c>
      <c r="I201">
        <v>4</v>
      </c>
      <c r="J201">
        <v>15000</v>
      </c>
      <c r="K201">
        <v>5</v>
      </c>
      <c r="L201">
        <v>60000</v>
      </c>
      <c r="M201" s="7">
        <v>57000</v>
      </c>
      <c r="N201" s="19">
        <f t="shared" si="14"/>
        <v>224400</v>
      </c>
      <c r="O201" t="str">
        <f t="shared" si="15"/>
        <v>Normal</v>
      </c>
      <c r="P201">
        <f>_xlfn.XLOOKUP(E201,Products_Master!B:B,Products_Master!D:D)</f>
        <v>900</v>
      </c>
    </row>
    <row r="202" spans="1:16" x14ac:dyDescent="0.35">
      <c r="A202" t="s">
        <v>234</v>
      </c>
      <c r="B202" s="5">
        <v>45510</v>
      </c>
      <c r="C202" s="2" t="str">
        <f t="shared" si="12"/>
        <v>August</v>
      </c>
      <c r="D202" s="2" t="str">
        <f t="shared" si="13"/>
        <v>2024</v>
      </c>
      <c r="E202" t="s">
        <v>42</v>
      </c>
      <c r="F202" t="s">
        <v>13</v>
      </c>
      <c r="G202" t="s">
        <v>14</v>
      </c>
      <c r="H202" t="s">
        <v>34</v>
      </c>
      <c r="I202">
        <v>5</v>
      </c>
      <c r="J202">
        <v>1500</v>
      </c>
      <c r="K202">
        <v>5</v>
      </c>
      <c r="L202">
        <v>7500</v>
      </c>
      <c r="M202" s="7">
        <v>7125</v>
      </c>
      <c r="N202" s="19">
        <f t="shared" si="14"/>
        <v>32625</v>
      </c>
      <c r="O202" t="str">
        <f t="shared" si="15"/>
        <v>Normal</v>
      </c>
      <c r="P202">
        <f>_xlfn.XLOOKUP(E202,Products_Master!B:B,Products_Master!D:D)</f>
        <v>600</v>
      </c>
    </row>
    <row r="203" spans="1:16" x14ac:dyDescent="0.35">
      <c r="A203" t="s">
        <v>235</v>
      </c>
      <c r="B203" s="5">
        <v>45510</v>
      </c>
      <c r="C203" s="2" t="str">
        <f t="shared" si="12"/>
        <v>August</v>
      </c>
      <c r="D203" s="2" t="str">
        <f t="shared" si="13"/>
        <v>2024</v>
      </c>
      <c r="E203" t="s">
        <v>23</v>
      </c>
      <c r="F203" t="s">
        <v>18</v>
      </c>
      <c r="G203" t="s">
        <v>39</v>
      </c>
      <c r="H203" t="s">
        <v>40</v>
      </c>
      <c r="I203">
        <v>5</v>
      </c>
      <c r="J203">
        <v>85000</v>
      </c>
      <c r="K203">
        <v>5</v>
      </c>
      <c r="L203">
        <v>425000</v>
      </c>
      <c r="M203" s="7">
        <v>403750</v>
      </c>
      <c r="N203" s="19">
        <f t="shared" si="14"/>
        <v>1928750</v>
      </c>
      <c r="O203" t="str">
        <f t="shared" si="15"/>
        <v>Normal</v>
      </c>
      <c r="P203">
        <f>_xlfn.XLOOKUP(E203,Products_Master!B:B,Products_Master!D:D)</f>
        <v>18000</v>
      </c>
    </row>
    <row r="204" spans="1:16" x14ac:dyDescent="0.35">
      <c r="A204" t="s">
        <v>236</v>
      </c>
      <c r="B204" s="5">
        <v>45510</v>
      </c>
      <c r="C204" s="2" t="str">
        <f t="shared" si="12"/>
        <v>August</v>
      </c>
      <c r="D204" s="2" t="str">
        <f t="shared" si="13"/>
        <v>2024</v>
      </c>
      <c r="E204" t="s">
        <v>17</v>
      </c>
      <c r="F204" t="s">
        <v>13</v>
      </c>
      <c r="G204" t="s">
        <v>24</v>
      </c>
      <c r="H204" t="s">
        <v>25</v>
      </c>
      <c r="I204">
        <v>2</v>
      </c>
      <c r="J204">
        <v>85000</v>
      </c>
      <c r="K204">
        <v>5</v>
      </c>
      <c r="L204">
        <v>170000</v>
      </c>
      <c r="M204" s="7">
        <v>161500</v>
      </c>
      <c r="N204" s="19">
        <f t="shared" si="14"/>
        <v>319000</v>
      </c>
      <c r="O204" t="str">
        <f t="shared" si="15"/>
        <v>Normal</v>
      </c>
      <c r="P204">
        <f>_xlfn.XLOOKUP(E204,Products_Master!B:B,Products_Master!D:D)</f>
        <v>2000</v>
      </c>
    </row>
    <row r="205" spans="1:16" x14ac:dyDescent="0.35">
      <c r="A205" t="s">
        <v>237</v>
      </c>
      <c r="B205" s="5">
        <v>45511</v>
      </c>
      <c r="C205" s="2" t="str">
        <f t="shared" si="12"/>
        <v>August</v>
      </c>
      <c r="D205" s="2" t="str">
        <f t="shared" si="13"/>
        <v>2024</v>
      </c>
      <c r="E205" t="s">
        <v>36</v>
      </c>
      <c r="F205" t="s">
        <v>18</v>
      </c>
      <c r="G205" t="s">
        <v>39</v>
      </c>
      <c r="H205" t="s">
        <v>15</v>
      </c>
      <c r="I205">
        <v>9</v>
      </c>
      <c r="J205">
        <v>15000</v>
      </c>
      <c r="K205">
        <v>0</v>
      </c>
      <c r="L205">
        <v>135000</v>
      </c>
      <c r="M205" s="7">
        <v>135000</v>
      </c>
      <c r="N205" s="19">
        <f t="shared" si="14"/>
        <v>1207800</v>
      </c>
      <c r="O205" t="str">
        <f t="shared" si="15"/>
        <v>Normal</v>
      </c>
      <c r="P205">
        <f>_xlfn.XLOOKUP(E205,Products_Master!B:B,Products_Master!D:D)</f>
        <v>800</v>
      </c>
    </row>
    <row r="206" spans="1:16" x14ac:dyDescent="0.35">
      <c r="A206" t="s">
        <v>238</v>
      </c>
      <c r="B206" s="5">
        <v>45511</v>
      </c>
      <c r="C206" s="2" t="str">
        <f t="shared" si="12"/>
        <v>August</v>
      </c>
      <c r="D206" s="2" t="str">
        <f t="shared" si="13"/>
        <v>2024</v>
      </c>
      <c r="E206" t="s">
        <v>42</v>
      </c>
      <c r="F206" t="s">
        <v>13</v>
      </c>
      <c r="G206" t="s">
        <v>37</v>
      </c>
      <c r="H206" t="s">
        <v>25</v>
      </c>
      <c r="I206">
        <v>6</v>
      </c>
      <c r="J206">
        <v>120000</v>
      </c>
      <c r="K206">
        <v>0</v>
      </c>
      <c r="L206">
        <v>720000</v>
      </c>
      <c r="M206" s="7">
        <v>720000</v>
      </c>
      <c r="N206" s="19">
        <f t="shared" si="14"/>
        <v>4316400</v>
      </c>
      <c r="O206" t="str">
        <f t="shared" si="15"/>
        <v>Normal</v>
      </c>
      <c r="P206">
        <f>_xlfn.XLOOKUP(E206,Products_Master!B:B,Products_Master!D:D)</f>
        <v>600</v>
      </c>
    </row>
    <row r="207" spans="1:16" x14ac:dyDescent="0.35">
      <c r="A207" t="s">
        <v>239</v>
      </c>
      <c r="B207" s="5">
        <v>45512</v>
      </c>
      <c r="C207" s="2" t="str">
        <f t="shared" si="12"/>
        <v>August</v>
      </c>
      <c r="D207" s="2" t="str">
        <f t="shared" si="13"/>
        <v>2024</v>
      </c>
      <c r="E207" t="s">
        <v>12</v>
      </c>
      <c r="F207" t="s">
        <v>18</v>
      </c>
      <c r="G207" t="s">
        <v>24</v>
      </c>
      <c r="H207" t="s">
        <v>25</v>
      </c>
      <c r="I207">
        <v>6</v>
      </c>
      <c r="J207">
        <v>85000</v>
      </c>
      <c r="K207">
        <v>5</v>
      </c>
      <c r="L207">
        <v>510000</v>
      </c>
      <c r="M207" s="7">
        <v>484500</v>
      </c>
      <c r="N207" s="19">
        <f t="shared" si="14"/>
        <v>2697000</v>
      </c>
      <c r="O207" t="str">
        <f t="shared" si="15"/>
        <v>Normal</v>
      </c>
      <c r="P207">
        <f>_xlfn.XLOOKUP(E207,Products_Master!B:B,Products_Master!D:D)</f>
        <v>35000</v>
      </c>
    </row>
    <row r="208" spans="1:16" x14ac:dyDescent="0.35">
      <c r="A208" t="s">
        <v>240</v>
      </c>
      <c r="B208" s="5">
        <v>45514</v>
      </c>
      <c r="C208" s="2" t="str">
        <f t="shared" si="12"/>
        <v>August</v>
      </c>
      <c r="D208" s="2" t="str">
        <f t="shared" si="13"/>
        <v>2024</v>
      </c>
      <c r="E208" t="s">
        <v>17</v>
      </c>
      <c r="F208" t="s">
        <v>13</v>
      </c>
      <c r="G208" t="s">
        <v>37</v>
      </c>
      <c r="H208" t="s">
        <v>49</v>
      </c>
      <c r="I208">
        <v>2</v>
      </c>
      <c r="J208">
        <v>120000</v>
      </c>
      <c r="K208">
        <v>0</v>
      </c>
      <c r="L208">
        <v>240000</v>
      </c>
      <c r="M208" s="7">
        <v>240000</v>
      </c>
      <c r="N208" s="19">
        <f t="shared" si="14"/>
        <v>476000</v>
      </c>
      <c r="O208" t="str">
        <f t="shared" si="15"/>
        <v>Normal</v>
      </c>
      <c r="P208">
        <f>_xlfn.XLOOKUP(E208,Products_Master!B:B,Products_Master!D:D)</f>
        <v>2000</v>
      </c>
    </row>
    <row r="209" spans="1:16" x14ac:dyDescent="0.35">
      <c r="A209" t="s">
        <v>241</v>
      </c>
      <c r="B209" s="5">
        <v>45515</v>
      </c>
      <c r="C209" s="2" t="str">
        <f t="shared" si="12"/>
        <v>August</v>
      </c>
      <c r="D209" s="2" t="str">
        <f t="shared" si="13"/>
        <v>2024</v>
      </c>
      <c r="E209" t="s">
        <v>23</v>
      </c>
      <c r="F209" t="s">
        <v>13</v>
      </c>
      <c r="G209" t="s">
        <v>39</v>
      </c>
      <c r="H209" t="s">
        <v>32</v>
      </c>
      <c r="I209">
        <v>3</v>
      </c>
      <c r="J209">
        <v>45000</v>
      </c>
      <c r="K209">
        <v>0</v>
      </c>
      <c r="L209">
        <v>135000</v>
      </c>
      <c r="M209" s="7">
        <v>135000</v>
      </c>
      <c r="N209" s="19">
        <f t="shared" si="14"/>
        <v>351000</v>
      </c>
      <c r="O209" t="str">
        <f t="shared" si="15"/>
        <v>Normal</v>
      </c>
      <c r="P209">
        <f>_xlfn.XLOOKUP(E209,Products_Master!B:B,Products_Master!D:D)</f>
        <v>18000</v>
      </c>
    </row>
    <row r="210" spans="1:16" x14ac:dyDescent="0.35">
      <c r="A210" t="s">
        <v>242</v>
      </c>
      <c r="B210" s="5">
        <v>45516</v>
      </c>
      <c r="C210" s="2" t="str">
        <f t="shared" si="12"/>
        <v>August</v>
      </c>
      <c r="D210" s="2" t="str">
        <f t="shared" si="13"/>
        <v>2024</v>
      </c>
      <c r="E210" t="s">
        <v>31</v>
      </c>
      <c r="F210" t="s">
        <v>13</v>
      </c>
      <c r="G210" t="s">
        <v>24</v>
      </c>
      <c r="H210" t="s">
        <v>29</v>
      </c>
      <c r="I210">
        <v>4</v>
      </c>
      <c r="J210">
        <v>8000</v>
      </c>
      <c r="K210">
        <v>5</v>
      </c>
      <c r="L210">
        <v>32000</v>
      </c>
      <c r="M210" s="7">
        <v>30400</v>
      </c>
      <c r="N210" s="19">
        <f t="shared" si="14"/>
        <v>61600</v>
      </c>
      <c r="O210" t="str">
        <f t="shared" si="15"/>
        <v>Normal</v>
      </c>
      <c r="P210">
        <f>_xlfn.XLOOKUP(E210,Products_Master!B:B,Products_Master!D:D)</f>
        <v>15000</v>
      </c>
    </row>
    <row r="211" spans="1:16" x14ac:dyDescent="0.35">
      <c r="A211" t="s">
        <v>243</v>
      </c>
      <c r="B211" s="5">
        <v>45516</v>
      </c>
      <c r="C211" s="2" t="str">
        <f t="shared" si="12"/>
        <v>August</v>
      </c>
      <c r="D211" s="2" t="str">
        <f t="shared" si="13"/>
        <v>2024</v>
      </c>
      <c r="E211" t="s">
        <v>17</v>
      </c>
      <c r="F211" t="s">
        <v>13</v>
      </c>
      <c r="G211" t="s">
        <v>37</v>
      </c>
      <c r="H211" t="s">
        <v>34</v>
      </c>
      <c r="I211">
        <v>9</v>
      </c>
      <c r="J211">
        <v>85000</v>
      </c>
      <c r="K211">
        <v>0</v>
      </c>
      <c r="L211">
        <v>765000</v>
      </c>
      <c r="M211" s="7">
        <v>765000</v>
      </c>
      <c r="N211" s="19">
        <f t="shared" si="14"/>
        <v>6867000</v>
      </c>
      <c r="O211" t="str">
        <f t="shared" si="15"/>
        <v>Normal</v>
      </c>
      <c r="P211">
        <f>_xlfn.XLOOKUP(E211,Products_Master!B:B,Products_Master!D:D)</f>
        <v>2000</v>
      </c>
    </row>
    <row r="212" spans="1:16" x14ac:dyDescent="0.35">
      <c r="A212" t="s">
        <v>244</v>
      </c>
      <c r="B212" s="5">
        <v>45516</v>
      </c>
      <c r="C212" s="2" t="str">
        <f t="shared" si="12"/>
        <v>August</v>
      </c>
      <c r="D212" s="2" t="str">
        <f t="shared" si="13"/>
        <v>2024</v>
      </c>
      <c r="E212" t="s">
        <v>54</v>
      </c>
      <c r="F212" t="s">
        <v>18</v>
      </c>
      <c r="G212" t="s">
        <v>39</v>
      </c>
      <c r="H212" t="s">
        <v>49</v>
      </c>
      <c r="I212">
        <v>8</v>
      </c>
      <c r="J212">
        <v>15000</v>
      </c>
      <c r="K212">
        <v>5</v>
      </c>
      <c r="L212">
        <v>120000</v>
      </c>
      <c r="M212" s="7">
        <v>114000</v>
      </c>
      <c r="N212" s="19">
        <f t="shared" si="14"/>
        <v>352000</v>
      </c>
      <c r="O212" t="str">
        <f t="shared" si="15"/>
        <v>Normal</v>
      </c>
      <c r="P212">
        <f>_xlfn.XLOOKUP(E212,Products_Master!B:B,Products_Master!D:D)</f>
        <v>70000</v>
      </c>
    </row>
    <row r="213" spans="1:16" x14ac:dyDescent="0.35">
      <c r="A213" t="s">
        <v>245</v>
      </c>
      <c r="B213" s="5">
        <v>45517</v>
      </c>
      <c r="C213" s="2" t="str">
        <f t="shared" si="12"/>
        <v>August</v>
      </c>
      <c r="D213" s="2" t="str">
        <f t="shared" si="13"/>
        <v>2024</v>
      </c>
      <c r="E213" t="s">
        <v>31</v>
      </c>
      <c r="F213" t="s">
        <v>18</v>
      </c>
      <c r="G213" t="s">
        <v>37</v>
      </c>
      <c r="H213" t="s">
        <v>29</v>
      </c>
      <c r="I213">
        <v>8</v>
      </c>
      <c r="J213">
        <v>15000</v>
      </c>
      <c r="K213">
        <v>10</v>
      </c>
      <c r="L213">
        <v>120000</v>
      </c>
      <c r="M213" s="7">
        <v>108000</v>
      </c>
      <c r="N213" s="19">
        <f t="shared" si="14"/>
        <v>744000</v>
      </c>
      <c r="O213" t="str">
        <f t="shared" si="15"/>
        <v>Normal</v>
      </c>
      <c r="P213">
        <f>_xlfn.XLOOKUP(E213,Products_Master!B:B,Products_Master!D:D)</f>
        <v>15000</v>
      </c>
    </row>
    <row r="214" spans="1:16" x14ac:dyDescent="0.35">
      <c r="A214" t="s">
        <v>246</v>
      </c>
      <c r="B214" s="5">
        <v>45517</v>
      </c>
      <c r="C214" s="2" t="str">
        <f t="shared" si="12"/>
        <v>August</v>
      </c>
      <c r="D214" s="2" t="str">
        <f t="shared" si="13"/>
        <v>2024</v>
      </c>
      <c r="E214" t="s">
        <v>31</v>
      </c>
      <c r="F214" t="s">
        <v>13</v>
      </c>
      <c r="G214" t="s">
        <v>24</v>
      </c>
      <c r="H214" t="s">
        <v>49</v>
      </c>
      <c r="I214">
        <v>6</v>
      </c>
      <c r="J214">
        <v>2500</v>
      </c>
      <c r="K214">
        <v>10</v>
      </c>
      <c r="L214">
        <v>15000</v>
      </c>
      <c r="M214" s="7">
        <v>13500</v>
      </c>
      <c r="N214" s="19">
        <f t="shared" si="14"/>
        <v>-9000</v>
      </c>
      <c r="O214" t="str">
        <f t="shared" si="15"/>
        <v>Normal</v>
      </c>
      <c r="P214">
        <f>_xlfn.XLOOKUP(E214,Products_Master!B:B,Products_Master!D:D)</f>
        <v>15000</v>
      </c>
    </row>
    <row r="215" spans="1:16" x14ac:dyDescent="0.35">
      <c r="A215" t="s">
        <v>247</v>
      </c>
      <c r="B215" s="5">
        <v>45519</v>
      </c>
      <c r="C215" s="2" t="str">
        <f t="shared" si="12"/>
        <v>August</v>
      </c>
      <c r="D215" s="2" t="str">
        <f t="shared" si="13"/>
        <v>2024</v>
      </c>
      <c r="E215" t="s">
        <v>23</v>
      </c>
      <c r="F215" t="s">
        <v>18</v>
      </c>
      <c r="G215" t="s">
        <v>14</v>
      </c>
      <c r="H215" t="s">
        <v>15</v>
      </c>
      <c r="I215">
        <v>7</v>
      </c>
      <c r="J215">
        <v>45000</v>
      </c>
      <c r="K215">
        <v>0</v>
      </c>
      <c r="L215">
        <v>315000</v>
      </c>
      <c r="M215" s="7">
        <v>315000</v>
      </c>
      <c r="N215" s="19">
        <f t="shared" si="14"/>
        <v>2079000</v>
      </c>
      <c r="O215" t="str">
        <f t="shared" si="15"/>
        <v>Normal</v>
      </c>
      <c r="P215">
        <f>_xlfn.XLOOKUP(E215,Products_Master!B:B,Products_Master!D:D)</f>
        <v>18000</v>
      </c>
    </row>
    <row r="216" spans="1:16" x14ac:dyDescent="0.35">
      <c r="A216" t="s">
        <v>248</v>
      </c>
      <c r="B216" s="5">
        <v>45520</v>
      </c>
      <c r="C216" s="2" t="str">
        <f t="shared" si="12"/>
        <v>August</v>
      </c>
      <c r="D216" s="2" t="str">
        <f t="shared" si="13"/>
        <v>2024</v>
      </c>
      <c r="E216" t="s">
        <v>54</v>
      </c>
      <c r="F216" t="s">
        <v>13</v>
      </c>
      <c r="G216" t="s">
        <v>14</v>
      </c>
      <c r="H216" t="s">
        <v>49</v>
      </c>
      <c r="I216">
        <v>7</v>
      </c>
      <c r="J216">
        <v>15000</v>
      </c>
      <c r="K216">
        <v>10</v>
      </c>
      <c r="L216">
        <v>105000</v>
      </c>
      <c r="M216" s="7">
        <v>94500</v>
      </c>
      <c r="N216" s="19">
        <f t="shared" si="14"/>
        <v>171500</v>
      </c>
      <c r="O216" t="str">
        <f t="shared" si="15"/>
        <v>Normal</v>
      </c>
      <c r="P216">
        <f>_xlfn.XLOOKUP(E216,Products_Master!B:B,Products_Master!D:D)</f>
        <v>70000</v>
      </c>
    </row>
    <row r="217" spans="1:16" x14ac:dyDescent="0.35">
      <c r="A217" t="s">
        <v>249</v>
      </c>
      <c r="B217" s="5">
        <v>45520</v>
      </c>
      <c r="C217" s="2" t="str">
        <f t="shared" si="12"/>
        <v>August</v>
      </c>
      <c r="D217" s="2" t="str">
        <f t="shared" si="13"/>
        <v>2024</v>
      </c>
      <c r="E217" t="s">
        <v>23</v>
      </c>
      <c r="F217" t="s">
        <v>13</v>
      </c>
      <c r="G217" t="s">
        <v>39</v>
      </c>
      <c r="H217" t="s">
        <v>49</v>
      </c>
      <c r="I217">
        <v>8</v>
      </c>
      <c r="J217">
        <v>45000</v>
      </c>
      <c r="K217">
        <v>10</v>
      </c>
      <c r="L217">
        <v>360000</v>
      </c>
      <c r="M217" s="7">
        <v>324000</v>
      </c>
      <c r="N217" s="19">
        <f t="shared" si="14"/>
        <v>2448000</v>
      </c>
      <c r="O217" t="str">
        <f t="shared" si="15"/>
        <v>Normal</v>
      </c>
      <c r="P217">
        <f>_xlfn.XLOOKUP(E217,Products_Master!B:B,Products_Master!D:D)</f>
        <v>18000</v>
      </c>
    </row>
    <row r="218" spans="1:16" x14ac:dyDescent="0.35">
      <c r="A218" t="s">
        <v>250</v>
      </c>
      <c r="B218" s="5">
        <v>45522</v>
      </c>
      <c r="C218" s="2" t="str">
        <f t="shared" si="12"/>
        <v>August</v>
      </c>
      <c r="D218" s="2" t="str">
        <f t="shared" si="13"/>
        <v>2024</v>
      </c>
      <c r="E218" t="s">
        <v>12</v>
      </c>
      <c r="F218" t="s">
        <v>13</v>
      </c>
      <c r="G218" t="s">
        <v>37</v>
      </c>
      <c r="H218" t="s">
        <v>40</v>
      </c>
      <c r="I218">
        <v>1</v>
      </c>
      <c r="J218">
        <v>15000</v>
      </c>
      <c r="K218">
        <v>15</v>
      </c>
      <c r="L218">
        <v>15000</v>
      </c>
      <c r="M218" s="7">
        <v>12750</v>
      </c>
      <c r="N218" s="19">
        <f t="shared" si="14"/>
        <v>-22250</v>
      </c>
      <c r="O218" t="str">
        <f t="shared" si="15"/>
        <v>Normal</v>
      </c>
      <c r="P218">
        <f>_xlfn.XLOOKUP(E218,Products_Master!B:B,Products_Master!D:D)</f>
        <v>35000</v>
      </c>
    </row>
    <row r="219" spans="1:16" x14ac:dyDescent="0.35">
      <c r="A219" t="s">
        <v>251</v>
      </c>
      <c r="B219" s="5">
        <v>45522</v>
      </c>
      <c r="C219" s="2" t="str">
        <f t="shared" si="12"/>
        <v>August</v>
      </c>
      <c r="D219" s="2" t="str">
        <f t="shared" si="13"/>
        <v>2024</v>
      </c>
      <c r="E219" t="s">
        <v>36</v>
      </c>
      <c r="F219" t="s">
        <v>13</v>
      </c>
      <c r="G219" t="s">
        <v>21</v>
      </c>
      <c r="H219" t="s">
        <v>40</v>
      </c>
      <c r="I219">
        <v>9</v>
      </c>
      <c r="J219">
        <v>2500</v>
      </c>
      <c r="K219">
        <v>0</v>
      </c>
      <c r="L219">
        <v>22500</v>
      </c>
      <c r="M219" s="7">
        <v>22500</v>
      </c>
      <c r="N219" s="19">
        <f t="shared" si="14"/>
        <v>195300</v>
      </c>
      <c r="O219" t="str">
        <f t="shared" si="15"/>
        <v>Normal</v>
      </c>
      <c r="P219">
        <f>_xlfn.XLOOKUP(E219,Products_Master!B:B,Products_Master!D:D)</f>
        <v>800</v>
      </c>
    </row>
    <row r="220" spans="1:16" x14ac:dyDescent="0.35">
      <c r="A220" t="s">
        <v>252</v>
      </c>
      <c r="B220" s="5">
        <v>45525</v>
      </c>
      <c r="C220" s="2" t="str">
        <f t="shared" si="12"/>
        <v>August</v>
      </c>
      <c r="D220" s="2" t="str">
        <f t="shared" si="13"/>
        <v>2024</v>
      </c>
      <c r="E220" t="s">
        <v>54</v>
      </c>
      <c r="F220" t="s">
        <v>18</v>
      </c>
      <c r="G220" t="s">
        <v>19</v>
      </c>
      <c r="H220" t="s">
        <v>29</v>
      </c>
      <c r="I220">
        <v>4</v>
      </c>
      <c r="J220">
        <v>85000</v>
      </c>
      <c r="K220">
        <v>0</v>
      </c>
      <c r="L220">
        <v>340000</v>
      </c>
      <c r="M220" s="7">
        <v>340000</v>
      </c>
      <c r="N220" s="19">
        <f t="shared" si="14"/>
        <v>1080000</v>
      </c>
      <c r="O220" t="str">
        <f t="shared" si="15"/>
        <v>Normal</v>
      </c>
      <c r="P220">
        <f>_xlfn.XLOOKUP(E220,Products_Master!B:B,Products_Master!D:D)</f>
        <v>70000</v>
      </c>
    </row>
    <row r="221" spans="1:16" x14ac:dyDescent="0.35">
      <c r="A221" t="s">
        <v>253</v>
      </c>
      <c r="B221" s="5">
        <v>45525</v>
      </c>
      <c r="C221" s="2" t="str">
        <f t="shared" si="12"/>
        <v>August</v>
      </c>
      <c r="D221" s="2" t="str">
        <f t="shared" si="13"/>
        <v>2024</v>
      </c>
      <c r="E221" t="s">
        <v>31</v>
      </c>
      <c r="F221" t="s">
        <v>13</v>
      </c>
      <c r="G221" t="s">
        <v>14</v>
      </c>
      <c r="H221" t="s">
        <v>40</v>
      </c>
      <c r="I221">
        <v>9</v>
      </c>
      <c r="J221">
        <v>15000</v>
      </c>
      <c r="K221">
        <v>0</v>
      </c>
      <c r="L221">
        <v>135000</v>
      </c>
      <c r="M221" s="7">
        <v>135000</v>
      </c>
      <c r="N221" s="19">
        <f t="shared" si="14"/>
        <v>1080000</v>
      </c>
      <c r="O221" t="str">
        <f t="shared" si="15"/>
        <v>Normal</v>
      </c>
      <c r="P221">
        <f>_xlfn.XLOOKUP(E221,Products_Master!B:B,Products_Master!D:D)</f>
        <v>15000</v>
      </c>
    </row>
    <row r="222" spans="1:16" x14ac:dyDescent="0.35">
      <c r="A222" t="s">
        <v>254</v>
      </c>
      <c r="B222" s="5">
        <v>45526</v>
      </c>
      <c r="C222" s="2" t="str">
        <f t="shared" si="12"/>
        <v>August</v>
      </c>
      <c r="D222" s="2" t="str">
        <f t="shared" si="13"/>
        <v>2024</v>
      </c>
      <c r="E222" t="s">
        <v>12</v>
      </c>
      <c r="F222" t="s">
        <v>18</v>
      </c>
      <c r="G222" t="s">
        <v>24</v>
      </c>
      <c r="H222" t="s">
        <v>25</v>
      </c>
      <c r="I222">
        <v>3</v>
      </c>
      <c r="J222">
        <v>45000</v>
      </c>
      <c r="K222">
        <v>0</v>
      </c>
      <c r="L222">
        <v>135000</v>
      </c>
      <c r="M222" s="7">
        <v>135000</v>
      </c>
      <c r="N222" s="19">
        <f t="shared" si="14"/>
        <v>300000</v>
      </c>
      <c r="O222" t="str">
        <f t="shared" si="15"/>
        <v>Normal</v>
      </c>
      <c r="P222">
        <f>_xlfn.XLOOKUP(E222,Products_Master!B:B,Products_Master!D:D)</f>
        <v>35000</v>
      </c>
    </row>
    <row r="223" spans="1:16" x14ac:dyDescent="0.35">
      <c r="A223" t="s">
        <v>255</v>
      </c>
      <c r="B223" s="5">
        <v>45526</v>
      </c>
      <c r="C223" s="2" t="str">
        <f t="shared" si="12"/>
        <v>August</v>
      </c>
      <c r="D223" s="2" t="str">
        <f t="shared" si="13"/>
        <v>2024</v>
      </c>
      <c r="E223" t="s">
        <v>31</v>
      </c>
      <c r="F223" t="s">
        <v>18</v>
      </c>
      <c r="G223" t="s">
        <v>37</v>
      </c>
      <c r="H223" t="s">
        <v>34</v>
      </c>
      <c r="I223">
        <v>9</v>
      </c>
      <c r="J223">
        <v>85000</v>
      </c>
      <c r="K223">
        <v>5</v>
      </c>
      <c r="L223">
        <v>765000</v>
      </c>
      <c r="M223" s="7">
        <v>726750</v>
      </c>
      <c r="N223" s="19">
        <f t="shared" si="14"/>
        <v>6405750</v>
      </c>
      <c r="O223" t="str">
        <f t="shared" si="15"/>
        <v>Normal</v>
      </c>
      <c r="P223">
        <f>_xlfn.XLOOKUP(E223,Products_Master!B:B,Products_Master!D:D)</f>
        <v>15000</v>
      </c>
    </row>
    <row r="224" spans="1:16" x14ac:dyDescent="0.35">
      <c r="A224" t="s">
        <v>256</v>
      </c>
      <c r="B224" s="5">
        <v>45527</v>
      </c>
      <c r="C224" s="2" t="str">
        <f t="shared" si="12"/>
        <v>August</v>
      </c>
      <c r="D224" s="2" t="str">
        <f t="shared" si="13"/>
        <v>2024</v>
      </c>
      <c r="E224" t="s">
        <v>54</v>
      </c>
      <c r="F224" t="s">
        <v>13</v>
      </c>
      <c r="G224" t="s">
        <v>19</v>
      </c>
      <c r="H224" t="s">
        <v>40</v>
      </c>
      <c r="I224">
        <v>2</v>
      </c>
      <c r="J224">
        <v>15000</v>
      </c>
      <c r="K224">
        <v>0</v>
      </c>
      <c r="L224">
        <v>30000</v>
      </c>
      <c r="M224" s="7">
        <v>30000</v>
      </c>
      <c r="N224" s="19">
        <f t="shared" si="14"/>
        <v>-80000</v>
      </c>
      <c r="O224" t="str">
        <f t="shared" si="15"/>
        <v>Normal</v>
      </c>
      <c r="P224">
        <f>_xlfn.XLOOKUP(E224,Products_Master!B:B,Products_Master!D:D)</f>
        <v>70000</v>
      </c>
    </row>
    <row r="225" spans="1:16" x14ac:dyDescent="0.35">
      <c r="A225" t="s">
        <v>257</v>
      </c>
      <c r="B225" s="5">
        <v>45528</v>
      </c>
      <c r="C225" s="2" t="str">
        <f t="shared" si="12"/>
        <v>August</v>
      </c>
      <c r="D225" s="2" t="str">
        <f t="shared" si="13"/>
        <v>2024</v>
      </c>
      <c r="E225" t="s">
        <v>17</v>
      </c>
      <c r="F225" t="s">
        <v>18</v>
      </c>
      <c r="G225" t="s">
        <v>24</v>
      </c>
      <c r="H225" t="s">
        <v>49</v>
      </c>
      <c r="I225">
        <v>6</v>
      </c>
      <c r="J225">
        <v>1500</v>
      </c>
      <c r="K225">
        <v>0</v>
      </c>
      <c r="L225">
        <v>9000</v>
      </c>
      <c r="M225" s="7">
        <v>9000</v>
      </c>
      <c r="N225" s="19">
        <f t="shared" si="14"/>
        <v>42000</v>
      </c>
      <c r="O225" t="str">
        <f t="shared" si="15"/>
        <v>Normal</v>
      </c>
      <c r="P225">
        <f>_xlfn.XLOOKUP(E225,Products_Master!B:B,Products_Master!D:D)</f>
        <v>2000</v>
      </c>
    </row>
    <row r="226" spans="1:16" x14ac:dyDescent="0.35">
      <c r="A226" t="s">
        <v>258</v>
      </c>
      <c r="B226" s="5">
        <v>45530</v>
      </c>
      <c r="C226" s="2" t="str">
        <f t="shared" si="12"/>
        <v>August</v>
      </c>
      <c r="D226" s="2" t="str">
        <f t="shared" si="13"/>
        <v>2024</v>
      </c>
      <c r="E226" t="s">
        <v>23</v>
      </c>
      <c r="F226" t="s">
        <v>18</v>
      </c>
      <c r="G226" t="s">
        <v>19</v>
      </c>
      <c r="H226" t="s">
        <v>40</v>
      </c>
      <c r="I226">
        <v>9</v>
      </c>
      <c r="J226">
        <v>1500</v>
      </c>
      <c r="K226">
        <v>0</v>
      </c>
      <c r="L226">
        <v>13500</v>
      </c>
      <c r="M226" s="7">
        <v>13500</v>
      </c>
      <c r="N226" s="19">
        <f t="shared" si="14"/>
        <v>-40500</v>
      </c>
      <c r="O226" t="str">
        <f t="shared" si="15"/>
        <v>Normal</v>
      </c>
      <c r="P226">
        <f>_xlfn.XLOOKUP(E226,Products_Master!B:B,Products_Master!D:D)</f>
        <v>18000</v>
      </c>
    </row>
    <row r="227" spans="1:16" x14ac:dyDescent="0.35">
      <c r="A227" t="s">
        <v>259</v>
      </c>
      <c r="B227" s="5">
        <v>45530</v>
      </c>
      <c r="C227" s="2" t="str">
        <f t="shared" si="12"/>
        <v>August</v>
      </c>
      <c r="D227" s="2" t="str">
        <f t="shared" si="13"/>
        <v>2024</v>
      </c>
      <c r="E227" t="s">
        <v>42</v>
      </c>
      <c r="F227" t="s">
        <v>13</v>
      </c>
      <c r="G227" t="s">
        <v>39</v>
      </c>
      <c r="H227" t="s">
        <v>25</v>
      </c>
      <c r="I227">
        <v>6</v>
      </c>
      <c r="J227">
        <v>2500</v>
      </c>
      <c r="K227">
        <v>10</v>
      </c>
      <c r="L227">
        <v>15000</v>
      </c>
      <c r="M227" s="7">
        <v>13500</v>
      </c>
      <c r="N227" s="19">
        <f t="shared" si="14"/>
        <v>77400</v>
      </c>
      <c r="O227" t="str">
        <f t="shared" si="15"/>
        <v>Normal</v>
      </c>
      <c r="P227">
        <f>_xlfn.XLOOKUP(E227,Products_Master!B:B,Products_Master!D:D)</f>
        <v>600</v>
      </c>
    </row>
    <row r="228" spans="1:16" x14ac:dyDescent="0.35">
      <c r="A228" t="s">
        <v>260</v>
      </c>
      <c r="B228" s="5">
        <v>45532</v>
      </c>
      <c r="C228" s="2" t="str">
        <f t="shared" si="12"/>
        <v>August</v>
      </c>
      <c r="D228" s="2" t="str">
        <f t="shared" si="13"/>
        <v>2024</v>
      </c>
      <c r="E228" t="s">
        <v>54</v>
      </c>
      <c r="F228" t="s">
        <v>13</v>
      </c>
      <c r="G228" t="s">
        <v>21</v>
      </c>
      <c r="H228" t="s">
        <v>49</v>
      </c>
      <c r="I228">
        <v>4</v>
      </c>
      <c r="J228">
        <v>45000</v>
      </c>
      <c r="K228">
        <v>5</v>
      </c>
      <c r="L228">
        <v>180000</v>
      </c>
      <c r="M228" s="7">
        <v>171000</v>
      </c>
      <c r="N228" s="19">
        <f t="shared" si="14"/>
        <v>404000</v>
      </c>
      <c r="O228" t="str">
        <f t="shared" si="15"/>
        <v>Normal</v>
      </c>
      <c r="P228">
        <f>_xlfn.XLOOKUP(E228,Products_Master!B:B,Products_Master!D:D)</f>
        <v>70000</v>
      </c>
    </row>
    <row r="229" spans="1:16" x14ac:dyDescent="0.35">
      <c r="A229" t="s">
        <v>261</v>
      </c>
      <c r="B229" s="5">
        <v>45532</v>
      </c>
      <c r="C229" s="2" t="str">
        <f t="shared" si="12"/>
        <v>August</v>
      </c>
      <c r="D229" s="2" t="str">
        <f t="shared" si="13"/>
        <v>2024</v>
      </c>
      <c r="E229" t="s">
        <v>23</v>
      </c>
      <c r="F229" t="s">
        <v>13</v>
      </c>
      <c r="G229" t="s">
        <v>39</v>
      </c>
      <c r="H229" t="s">
        <v>49</v>
      </c>
      <c r="I229">
        <v>6</v>
      </c>
      <c r="J229">
        <v>120000</v>
      </c>
      <c r="K229">
        <v>0</v>
      </c>
      <c r="L229">
        <v>720000</v>
      </c>
      <c r="M229" s="7">
        <v>720000</v>
      </c>
      <c r="N229" s="19">
        <f t="shared" si="14"/>
        <v>4212000</v>
      </c>
      <c r="O229" t="str">
        <f t="shared" si="15"/>
        <v>Normal</v>
      </c>
      <c r="P229">
        <f>_xlfn.XLOOKUP(E229,Products_Master!B:B,Products_Master!D:D)</f>
        <v>18000</v>
      </c>
    </row>
    <row r="230" spans="1:16" x14ac:dyDescent="0.35">
      <c r="A230" t="s">
        <v>262</v>
      </c>
      <c r="B230" s="5">
        <v>45532</v>
      </c>
      <c r="C230" s="2" t="str">
        <f t="shared" si="12"/>
        <v>August</v>
      </c>
      <c r="D230" s="2" t="str">
        <f t="shared" si="13"/>
        <v>2024</v>
      </c>
      <c r="E230" t="s">
        <v>23</v>
      </c>
      <c r="F230" t="s">
        <v>13</v>
      </c>
      <c r="G230" t="s">
        <v>39</v>
      </c>
      <c r="H230" t="s">
        <v>49</v>
      </c>
      <c r="I230">
        <v>8</v>
      </c>
      <c r="J230">
        <v>8000</v>
      </c>
      <c r="K230">
        <v>5</v>
      </c>
      <c r="L230">
        <v>64000</v>
      </c>
      <c r="M230" s="7">
        <v>60800</v>
      </c>
      <c r="N230" s="19">
        <f t="shared" si="14"/>
        <v>342400</v>
      </c>
      <c r="O230" t="str">
        <f t="shared" si="15"/>
        <v>Normal</v>
      </c>
      <c r="P230">
        <f>_xlfn.XLOOKUP(E230,Products_Master!B:B,Products_Master!D:D)</f>
        <v>18000</v>
      </c>
    </row>
    <row r="231" spans="1:16" x14ac:dyDescent="0.35">
      <c r="A231" t="s">
        <v>263</v>
      </c>
      <c r="B231" s="5">
        <v>45534</v>
      </c>
      <c r="C231" s="2" t="str">
        <f t="shared" si="12"/>
        <v>August</v>
      </c>
      <c r="D231" s="2" t="str">
        <f t="shared" si="13"/>
        <v>2024</v>
      </c>
      <c r="E231" t="s">
        <v>54</v>
      </c>
      <c r="F231" t="s">
        <v>13</v>
      </c>
      <c r="G231" t="s">
        <v>39</v>
      </c>
      <c r="H231" t="s">
        <v>29</v>
      </c>
      <c r="I231">
        <v>6</v>
      </c>
      <c r="J231">
        <v>2500</v>
      </c>
      <c r="K231">
        <v>10</v>
      </c>
      <c r="L231">
        <v>15000</v>
      </c>
      <c r="M231" s="7">
        <v>13500</v>
      </c>
      <c r="N231" s="19">
        <f t="shared" si="14"/>
        <v>-339000</v>
      </c>
      <c r="O231" t="str">
        <f t="shared" si="15"/>
        <v>Normal</v>
      </c>
      <c r="P231">
        <f>_xlfn.XLOOKUP(E231,Products_Master!B:B,Products_Master!D:D)</f>
        <v>70000</v>
      </c>
    </row>
    <row r="232" spans="1:16" x14ac:dyDescent="0.35">
      <c r="A232" t="s">
        <v>264</v>
      </c>
      <c r="B232" s="5">
        <v>45534</v>
      </c>
      <c r="C232" s="2" t="str">
        <f t="shared" si="12"/>
        <v>August</v>
      </c>
      <c r="D232" s="2" t="str">
        <f t="shared" si="13"/>
        <v>2024</v>
      </c>
      <c r="E232" t="s">
        <v>27</v>
      </c>
      <c r="F232" t="s">
        <v>18</v>
      </c>
      <c r="G232" t="s">
        <v>24</v>
      </c>
      <c r="H232" t="s">
        <v>40</v>
      </c>
      <c r="I232">
        <v>4</v>
      </c>
      <c r="J232">
        <v>120000</v>
      </c>
      <c r="K232">
        <v>0</v>
      </c>
      <c r="L232">
        <v>480000</v>
      </c>
      <c r="M232" s="7">
        <v>480000</v>
      </c>
      <c r="N232" s="19">
        <f t="shared" si="14"/>
        <v>1916400</v>
      </c>
      <c r="O232" t="str">
        <f t="shared" si="15"/>
        <v>Normal</v>
      </c>
      <c r="P232">
        <f>_xlfn.XLOOKUP(E232,Products_Master!B:B,Products_Master!D:D)</f>
        <v>900</v>
      </c>
    </row>
    <row r="233" spans="1:16" x14ac:dyDescent="0.35">
      <c r="A233" t="s">
        <v>265</v>
      </c>
      <c r="B233" s="5">
        <v>45535</v>
      </c>
      <c r="C233" s="2" t="str">
        <f t="shared" si="12"/>
        <v>August</v>
      </c>
      <c r="D233" s="2" t="str">
        <f t="shared" si="13"/>
        <v>2024</v>
      </c>
      <c r="E233" t="s">
        <v>23</v>
      </c>
      <c r="F233" t="s">
        <v>18</v>
      </c>
      <c r="G233" t="s">
        <v>39</v>
      </c>
      <c r="H233" t="s">
        <v>15</v>
      </c>
      <c r="I233">
        <v>1</v>
      </c>
      <c r="J233">
        <v>15000</v>
      </c>
      <c r="K233">
        <v>15</v>
      </c>
      <c r="L233">
        <v>15000</v>
      </c>
      <c r="M233" s="7">
        <v>12750</v>
      </c>
      <c r="N233" s="19">
        <f t="shared" si="14"/>
        <v>-5250</v>
      </c>
      <c r="O233" t="str">
        <f t="shared" si="15"/>
        <v>Normal</v>
      </c>
      <c r="P233">
        <f>_xlfn.XLOOKUP(E233,Products_Master!B:B,Products_Master!D:D)</f>
        <v>18000</v>
      </c>
    </row>
    <row r="234" spans="1:16" x14ac:dyDescent="0.35">
      <c r="A234" t="s">
        <v>266</v>
      </c>
      <c r="B234" s="5">
        <v>45536</v>
      </c>
      <c r="C234" s="2" t="str">
        <f t="shared" si="12"/>
        <v>September</v>
      </c>
      <c r="D234" s="2" t="str">
        <f t="shared" si="13"/>
        <v>2024</v>
      </c>
      <c r="E234" t="s">
        <v>54</v>
      </c>
      <c r="F234" t="s">
        <v>18</v>
      </c>
      <c r="G234" t="s">
        <v>24</v>
      </c>
      <c r="H234" t="s">
        <v>15</v>
      </c>
      <c r="I234">
        <v>1</v>
      </c>
      <c r="J234">
        <v>8000</v>
      </c>
      <c r="K234">
        <v>5</v>
      </c>
      <c r="L234">
        <v>8000</v>
      </c>
      <c r="M234" s="7">
        <v>7600</v>
      </c>
      <c r="N234" s="19">
        <f t="shared" si="14"/>
        <v>-62400</v>
      </c>
      <c r="O234" t="str">
        <f t="shared" si="15"/>
        <v>Normal</v>
      </c>
      <c r="P234">
        <f>_xlfn.XLOOKUP(E234,Products_Master!B:B,Products_Master!D:D)</f>
        <v>70000</v>
      </c>
    </row>
    <row r="235" spans="1:16" x14ac:dyDescent="0.35">
      <c r="A235" t="s">
        <v>267</v>
      </c>
      <c r="B235" s="5">
        <v>45536</v>
      </c>
      <c r="C235" s="2" t="str">
        <f t="shared" si="12"/>
        <v>September</v>
      </c>
      <c r="D235" s="2" t="str">
        <f t="shared" si="13"/>
        <v>2024</v>
      </c>
      <c r="E235" t="s">
        <v>31</v>
      </c>
      <c r="F235" t="s">
        <v>13</v>
      </c>
      <c r="G235" t="s">
        <v>19</v>
      </c>
      <c r="H235" t="s">
        <v>32</v>
      </c>
      <c r="I235">
        <v>4</v>
      </c>
      <c r="J235">
        <v>2500</v>
      </c>
      <c r="K235">
        <v>10</v>
      </c>
      <c r="L235">
        <v>10000</v>
      </c>
      <c r="M235" s="7">
        <v>9000</v>
      </c>
      <c r="N235" s="19">
        <f t="shared" si="14"/>
        <v>-24000</v>
      </c>
      <c r="O235" t="str">
        <f t="shared" si="15"/>
        <v>Normal</v>
      </c>
      <c r="P235">
        <f>_xlfn.XLOOKUP(E235,Products_Master!B:B,Products_Master!D:D)</f>
        <v>15000</v>
      </c>
    </row>
    <row r="236" spans="1:16" x14ac:dyDescent="0.35">
      <c r="A236" t="s">
        <v>268</v>
      </c>
      <c r="B236" s="5">
        <v>45537</v>
      </c>
      <c r="C236" s="2" t="str">
        <f t="shared" si="12"/>
        <v>September</v>
      </c>
      <c r="D236" s="2" t="str">
        <f t="shared" si="13"/>
        <v>2024</v>
      </c>
      <c r="E236" t="s">
        <v>36</v>
      </c>
      <c r="F236" t="s">
        <v>13</v>
      </c>
      <c r="G236" t="s">
        <v>19</v>
      </c>
      <c r="H236" t="s">
        <v>25</v>
      </c>
      <c r="I236">
        <v>8</v>
      </c>
      <c r="J236">
        <v>120000</v>
      </c>
      <c r="K236">
        <v>0</v>
      </c>
      <c r="L236">
        <v>960000</v>
      </c>
      <c r="M236" s="7">
        <v>960000</v>
      </c>
      <c r="N236" s="19">
        <f t="shared" si="14"/>
        <v>7673600</v>
      </c>
      <c r="O236" t="str">
        <f t="shared" si="15"/>
        <v>Normal</v>
      </c>
      <c r="P236">
        <f>_xlfn.XLOOKUP(E236,Products_Master!B:B,Products_Master!D:D)</f>
        <v>800</v>
      </c>
    </row>
    <row r="237" spans="1:16" x14ac:dyDescent="0.35">
      <c r="A237" t="s">
        <v>269</v>
      </c>
      <c r="B237" s="5">
        <v>45538</v>
      </c>
      <c r="C237" s="2" t="str">
        <f t="shared" si="12"/>
        <v>September</v>
      </c>
      <c r="D237" s="2" t="str">
        <f t="shared" si="13"/>
        <v>2024</v>
      </c>
      <c r="E237" t="s">
        <v>36</v>
      </c>
      <c r="F237" t="s">
        <v>18</v>
      </c>
      <c r="G237" t="s">
        <v>21</v>
      </c>
      <c r="H237" t="s">
        <v>15</v>
      </c>
      <c r="I237">
        <v>4</v>
      </c>
      <c r="J237">
        <v>45000</v>
      </c>
      <c r="K237">
        <v>10</v>
      </c>
      <c r="L237">
        <v>180000</v>
      </c>
      <c r="M237" s="7">
        <v>162000</v>
      </c>
      <c r="N237" s="19">
        <f t="shared" si="14"/>
        <v>644800</v>
      </c>
      <c r="O237" t="str">
        <f t="shared" si="15"/>
        <v>Normal</v>
      </c>
      <c r="P237">
        <f>_xlfn.XLOOKUP(E237,Products_Master!B:B,Products_Master!D:D)</f>
        <v>800</v>
      </c>
    </row>
    <row r="238" spans="1:16" x14ac:dyDescent="0.35">
      <c r="A238" t="s">
        <v>270</v>
      </c>
      <c r="B238" s="5">
        <v>45540</v>
      </c>
      <c r="C238" s="2" t="str">
        <f t="shared" si="12"/>
        <v>September</v>
      </c>
      <c r="D238" s="2" t="str">
        <f t="shared" si="13"/>
        <v>2024</v>
      </c>
      <c r="E238" t="s">
        <v>54</v>
      </c>
      <c r="F238" t="s">
        <v>18</v>
      </c>
      <c r="G238" t="s">
        <v>19</v>
      </c>
      <c r="H238" t="s">
        <v>49</v>
      </c>
      <c r="I238">
        <v>8</v>
      </c>
      <c r="J238">
        <v>85000</v>
      </c>
      <c r="K238">
        <v>15</v>
      </c>
      <c r="L238">
        <v>680000</v>
      </c>
      <c r="M238" s="7">
        <v>578000</v>
      </c>
      <c r="N238" s="19">
        <f t="shared" si="14"/>
        <v>4064000</v>
      </c>
      <c r="O238" t="str">
        <f t="shared" si="15"/>
        <v>Normal</v>
      </c>
      <c r="P238">
        <f>_xlfn.XLOOKUP(E238,Products_Master!B:B,Products_Master!D:D)</f>
        <v>70000</v>
      </c>
    </row>
    <row r="239" spans="1:16" x14ac:dyDescent="0.35">
      <c r="A239" t="s">
        <v>271</v>
      </c>
      <c r="B239" s="5">
        <v>45541</v>
      </c>
      <c r="C239" s="2" t="str">
        <f t="shared" si="12"/>
        <v>September</v>
      </c>
      <c r="D239" s="2" t="str">
        <f t="shared" si="13"/>
        <v>2024</v>
      </c>
      <c r="E239" t="s">
        <v>23</v>
      </c>
      <c r="F239" t="s">
        <v>18</v>
      </c>
      <c r="G239" t="s">
        <v>19</v>
      </c>
      <c r="H239" t="s">
        <v>25</v>
      </c>
      <c r="I239">
        <v>2</v>
      </c>
      <c r="J239">
        <v>120000</v>
      </c>
      <c r="K239">
        <v>0</v>
      </c>
      <c r="L239">
        <v>240000</v>
      </c>
      <c r="M239" s="7">
        <v>240000</v>
      </c>
      <c r="N239" s="19">
        <f t="shared" si="14"/>
        <v>444000</v>
      </c>
      <c r="O239" t="str">
        <f t="shared" si="15"/>
        <v>Normal</v>
      </c>
      <c r="P239">
        <f>_xlfn.XLOOKUP(E239,Products_Master!B:B,Products_Master!D:D)</f>
        <v>18000</v>
      </c>
    </row>
    <row r="240" spans="1:16" x14ac:dyDescent="0.35">
      <c r="A240" t="s">
        <v>272</v>
      </c>
      <c r="B240" s="5">
        <v>45542</v>
      </c>
      <c r="C240" s="2" t="str">
        <f t="shared" si="12"/>
        <v>September</v>
      </c>
      <c r="D240" s="2" t="str">
        <f t="shared" si="13"/>
        <v>2024</v>
      </c>
      <c r="E240" t="s">
        <v>54</v>
      </c>
      <c r="F240" t="s">
        <v>13</v>
      </c>
      <c r="G240" t="s">
        <v>37</v>
      </c>
      <c r="H240" t="s">
        <v>40</v>
      </c>
      <c r="I240">
        <v>6</v>
      </c>
      <c r="J240">
        <v>2500</v>
      </c>
      <c r="K240">
        <v>0</v>
      </c>
      <c r="L240">
        <v>15000</v>
      </c>
      <c r="M240" s="7">
        <v>15000</v>
      </c>
      <c r="N240" s="19">
        <f t="shared" si="14"/>
        <v>-330000</v>
      </c>
      <c r="O240" t="str">
        <f t="shared" si="15"/>
        <v>Normal</v>
      </c>
      <c r="P240">
        <f>_xlfn.XLOOKUP(E240,Products_Master!B:B,Products_Master!D:D)</f>
        <v>70000</v>
      </c>
    </row>
    <row r="241" spans="1:16" x14ac:dyDescent="0.35">
      <c r="A241" t="s">
        <v>273</v>
      </c>
      <c r="B241" s="5">
        <v>45542</v>
      </c>
      <c r="C241" s="2" t="str">
        <f t="shared" si="12"/>
        <v>September</v>
      </c>
      <c r="D241" s="2" t="str">
        <f t="shared" si="13"/>
        <v>2024</v>
      </c>
      <c r="E241" t="s">
        <v>36</v>
      </c>
      <c r="F241" t="s">
        <v>13</v>
      </c>
      <c r="G241" t="s">
        <v>24</v>
      </c>
      <c r="H241" t="s">
        <v>32</v>
      </c>
      <c r="I241">
        <v>1</v>
      </c>
      <c r="J241">
        <v>1500</v>
      </c>
      <c r="K241">
        <v>5</v>
      </c>
      <c r="L241">
        <v>1500</v>
      </c>
      <c r="M241" s="7">
        <v>1425</v>
      </c>
      <c r="N241" s="19">
        <f t="shared" si="14"/>
        <v>625</v>
      </c>
      <c r="O241" t="str">
        <f t="shared" si="15"/>
        <v>Normal</v>
      </c>
      <c r="P241">
        <f>_xlfn.XLOOKUP(E241,Products_Master!B:B,Products_Master!D:D)</f>
        <v>800</v>
      </c>
    </row>
    <row r="242" spans="1:16" x14ac:dyDescent="0.35">
      <c r="A242" t="s">
        <v>274</v>
      </c>
      <c r="B242" s="5">
        <v>45542</v>
      </c>
      <c r="C242" s="2" t="str">
        <f t="shared" si="12"/>
        <v>September</v>
      </c>
      <c r="D242" s="2" t="str">
        <f t="shared" si="13"/>
        <v>2024</v>
      </c>
      <c r="E242" t="s">
        <v>54</v>
      </c>
      <c r="F242" t="s">
        <v>13</v>
      </c>
      <c r="G242" t="s">
        <v>24</v>
      </c>
      <c r="H242" t="s">
        <v>25</v>
      </c>
      <c r="I242">
        <v>2</v>
      </c>
      <c r="J242">
        <v>85000</v>
      </c>
      <c r="K242">
        <v>0</v>
      </c>
      <c r="L242">
        <v>170000</v>
      </c>
      <c r="M242" s="7">
        <v>170000</v>
      </c>
      <c r="N242" s="19">
        <f t="shared" si="14"/>
        <v>200000</v>
      </c>
      <c r="O242" t="str">
        <f t="shared" si="15"/>
        <v>Normal</v>
      </c>
      <c r="P242">
        <f>_xlfn.XLOOKUP(E242,Products_Master!B:B,Products_Master!D:D)</f>
        <v>70000</v>
      </c>
    </row>
    <row r="243" spans="1:16" x14ac:dyDescent="0.35">
      <c r="A243" t="s">
        <v>275</v>
      </c>
      <c r="B243" s="5">
        <v>45542</v>
      </c>
      <c r="C243" s="2" t="str">
        <f t="shared" si="12"/>
        <v>September</v>
      </c>
      <c r="D243" s="2" t="str">
        <f t="shared" si="13"/>
        <v>2024</v>
      </c>
      <c r="E243" t="s">
        <v>27</v>
      </c>
      <c r="F243" t="s">
        <v>18</v>
      </c>
      <c r="G243" t="s">
        <v>24</v>
      </c>
      <c r="H243" t="s">
        <v>25</v>
      </c>
      <c r="I243">
        <v>6</v>
      </c>
      <c r="J243">
        <v>2500</v>
      </c>
      <c r="K243">
        <v>10</v>
      </c>
      <c r="L243">
        <v>15000</v>
      </c>
      <c r="M243" s="7">
        <v>13500</v>
      </c>
      <c r="N243" s="19">
        <f t="shared" si="14"/>
        <v>75600</v>
      </c>
      <c r="O243" t="str">
        <f t="shared" si="15"/>
        <v>Normal</v>
      </c>
      <c r="P243">
        <f>_xlfn.XLOOKUP(E243,Products_Master!B:B,Products_Master!D:D)</f>
        <v>900</v>
      </c>
    </row>
    <row r="244" spans="1:16" x14ac:dyDescent="0.35">
      <c r="A244" t="s">
        <v>276</v>
      </c>
      <c r="B244" s="5">
        <v>45544</v>
      </c>
      <c r="C244" s="2" t="str">
        <f t="shared" si="12"/>
        <v>September</v>
      </c>
      <c r="D244" s="2" t="str">
        <f t="shared" si="13"/>
        <v>2024</v>
      </c>
      <c r="E244" t="s">
        <v>23</v>
      </c>
      <c r="F244" t="s">
        <v>18</v>
      </c>
      <c r="G244" t="s">
        <v>39</v>
      </c>
      <c r="H244" t="s">
        <v>29</v>
      </c>
      <c r="I244">
        <v>4</v>
      </c>
      <c r="J244">
        <v>2500</v>
      </c>
      <c r="K244">
        <v>10</v>
      </c>
      <c r="L244">
        <v>10000</v>
      </c>
      <c r="M244" s="7">
        <v>9000</v>
      </c>
      <c r="N244" s="19">
        <f t="shared" si="14"/>
        <v>-36000</v>
      </c>
      <c r="O244" t="str">
        <f t="shared" si="15"/>
        <v>Normal</v>
      </c>
      <c r="P244">
        <f>_xlfn.XLOOKUP(E244,Products_Master!B:B,Products_Master!D:D)</f>
        <v>18000</v>
      </c>
    </row>
    <row r="245" spans="1:16" x14ac:dyDescent="0.35">
      <c r="A245" t="s">
        <v>277</v>
      </c>
      <c r="B245" s="5">
        <v>45544</v>
      </c>
      <c r="C245" s="2" t="str">
        <f t="shared" si="12"/>
        <v>September</v>
      </c>
      <c r="D245" s="2" t="str">
        <f t="shared" si="13"/>
        <v>2024</v>
      </c>
      <c r="E245" t="s">
        <v>23</v>
      </c>
      <c r="F245" t="s">
        <v>13</v>
      </c>
      <c r="G245" t="s">
        <v>14</v>
      </c>
      <c r="H245" t="s">
        <v>34</v>
      </c>
      <c r="I245">
        <v>1</v>
      </c>
      <c r="J245">
        <v>120000</v>
      </c>
      <c r="K245">
        <v>0</v>
      </c>
      <c r="L245">
        <v>120000</v>
      </c>
      <c r="M245" s="7">
        <v>120000</v>
      </c>
      <c r="N245" s="19">
        <f t="shared" si="14"/>
        <v>102000</v>
      </c>
      <c r="O245" t="str">
        <f t="shared" si="15"/>
        <v>Normal</v>
      </c>
      <c r="P245">
        <f>_xlfn.XLOOKUP(E245,Products_Master!B:B,Products_Master!D:D)</f>
        <v>18000</v>
      </c>
    </row>
    <row r="246" spans="1:16" x14ac:dyDescent="0.35">
      <c r="A246" t="s">
        <v>278</v>
      </c>
      <c r="B246" s="5">
        <v>45545</v>
      </c>
      <c r="C246" s="2" t="str">
        <f t="shared" si="12"/>
        <v>September</v>
      </c>
      <c r="D246" s="2" t="str">
        <f t="shared" si="13"/>
        <v>2024</v>
      </c>
      <c r="E246" t="s">
        <v>27</v>
      </c>
      <c r="F246" t="s">
        <v>13</v>
      </c>
      <c r="G246" t="s">
        <v>14</v>
      </c>
      <c r="H246" t="s">
        <v>34</v>
      </c>
      <c r="I246">
        <v>8</v>
      </c>
      <c r="J246">
        <v>8000</v>
      </c>
      <c r="K246">
        <v>0</v>
      </c>
      <c r="L246">
        <v>64000</v>
      </c>
      <c r="M246" s="7">
        <v>64000</v>
      </c>
      <c r="N246" s="19">
        <f t="shared" si="14"/>
        <v>504800</v>
      </c>
      <c r="O246" t="str">
        <f t="shared" si="15"/>
        <v>Normal</v>
      </c>
      <c r="P246">
        <f>_xlfn.XLOOKUP(E246,Products_Master!B:B,Products_Master!D:D)</f>
        <v>900</v>
      </c>
    </row>
    <row r="247" spans="1:16" x14ac:dyDescent="0.35">
      <c r="A247" t="s">
        <v>279</v>
      </c>
      <c r="B247" s="5">
        <v>45545</v>
      </c>
      <c r="C247" s="2" t="str">
        <f t="shared" si="12"/>
        <v>September</v>
      </c>
      <c r="D247" s="2" t="str">
        <f t="shared" si="13"/>
        <v>2024</v>
      </c>
      <c r="E247" t="s">
        <v>54</v>
      </c>
      <c r="F247" t="s">
        <v>13</v>
      </c>
      <c r="G247" t="s">
        <v>19</v>
      </c>
      <c r="H247" t="s">
        <v>32</v>
      </c>
      <c r="I247">
        <v>7</v>
      </c>
      <c r="J247">
        <v>45000</v>
      </c>
      <c r="K247">
        <v>0</v>
      </c>
      <c r="L247">
        <v>315000</v>
      </c>
      <c r="M247" s="7">
        <v>315000</v>
      </c>
      <c r="N247" s="19">
        <f t="shared" si="14"/>
        <v>1715000</v>
      </c>
      <c r="O247" t="str">
        <f t="shared" si="15"/>
        <v>Normal</v>
      </c>
      <c r="P247">
        <f>_xlfn.XLOOKUP(E247,Products_Master!B:B,Products_Master!D:D)</f>
        <v>70000</v>
      </c>
    </row>
    <row r="248" spans="1:16" x14ac:dyDescent="0.35">
      <c r="A248" t="s">
        <v>280</v>
      </c>
      <c r="B248" s="5">
        <v>45546</v>
      </c>
      <c r="C248" s="2" t="str">
        <f t="shared" si="12"/>
        <v>September</v>
      </c>
      <c r="D248" s="2" t="str">
        <f t="shared" si="13"/>
        <v>2024</v>
      </c>
      <c r="E248" t="s">
        <v>12</v>
      </c>
      <c r="F248" t="s">
        <v>18</v>
      </c>
      <c r="G248" t="s">
        <v>37</v>
      </c>
      <c r="H248" t="s">
        <v>40</v>
      </c>
      <c r="I248">
        <v>1</v>
      </c>
      <c r="J248">
        <v>2500</v>
      </c>
      <c r="K248">
        <v>0</v>
      </c>
      <c r="L248">
        <v>2500</v>
      </c>
      <c r="M248" s="7">
        <v>2500</v>
      </c>
      <c r="N248" s="19">
        <f t="shared" si="14"/>
        <v>-32500</v>
      </c>
      <c r="O248" t="str">
        <f t="shared" si="15"/>
        <v>Normal</v>
      </c>
      <c r="P248">
        <f>_xlfn.XLOOKUP(E248,Products_Master!B:B,Products_Master!D:D)</f>
        <v>35000</v>
      </c>
    </row>
    <row r="249" spans="1:16" x14ac:dyDescent="0.35">
      <c r="A249" t="s">
        <v>281</v>
      </c>
      <c r="B249" s="5">
        <v>45546</v>
      </c>
      <c r="C249" s="2" t="str">
        <f t="shared" si="12"/>
        <v>September</v>
      </c>
      <c r="D249" s="2" t="str">
        <f t="shared" si="13"/>
        <v>2024</v>
      </c>
      <c r="E249" t="s">
        <v>17</v>
      </c>
      <c r="F249" t="s">
        <v>13</v>
      </c>
      <c r="G249" t="s">
        <v>24</v>
      </c>
      <c r="H249" t="s">
        <v>15</v>
      </c>
      <c r="I249">
        <v>5</v>
      </c>
      <c r="J249">
        <v>15000</v>
      </c>
      <c r="K249">
        <v>0</v>
      </c>
      <c r="L249">
        <v>75000</v>
      </c>
      <c r="M249" s="7">
        <v>75000</v>
      </c>
      <c r="N249" s="19">
        <f t="shared" si="14"/>
        <v>365000</v>
      </c>
      <c r="O249" t="str">
        <f t="shared" si="15"/>
        <v>Normal</v>
      </c>
      <c r="P249">
        <f>_xlfn.XLOOKUP(E249,Products_Master!B:B,Products_Master!D:D)</f>
        <v>2000</v>
      </c>
    </row>
    <row r="250" spans="1:16" x14ac:dyDescent="0.35">
      <c r="A250" t="s">
        <v>282</v>
      </c>
      <c r="B250" s="5">
        <v>45547</v>
      </c>
      <c r="C250" s="2" t="str">
        <f t="shared" si="12"/>
        <v>September</v>
      </c>
      <c r="D250" s="2" t="str">
        <f t="shared" si="13"/>
        <v>2024</v>
      </c>
      <c r="E250" t="s">
        <v>17</v>
      </c>
      <c r="F250" t="s">
        <v>13</v>
      </c>
      <c r="G250" t="s">
        <v>14</v>
      </c>
      <c r="H250" t="s">
        <v>15</v>
      </c>
      <c r="I250">
        <v>2</v>
      </c>
      <c r="J250">
        <v>1500</v>
      </c>
      <c r="K250">
        <v>5</v>
      </c>
      <c r="L250">
        <v>3000</v>
      </c>
      <c r="M250" s="7">
        <v>2850</v>
      </c>
      <c r="N250" s="19">
        <f t="shared" si="14"/>
        <v>1700</v>
      </c>
      <c r="O250" t="str">
        <f t="shared" si="15"/>
        <v>Normal</v>
      </c>
      <c r="P250">
        <f>_xlfn.XLOOKUP(E250,Products_Master!B:B,Products_Master!D:D)</f>
        <v>2000</v>
      </c>
    </row>
    <row r="251" spans="1:16" x14ac:dyDescent="0.35">
      <c r="A251" t="s">
        <v>283</v>
      </c>
      <c r="B251" s="5">
        <v>45547</v>
      </c>
      <c r="C251" s="2" t="str">
        <f t="shared" si="12"/>
        <v>September</v>
      </c>
      <c r="D251" s="2" t="str">
        <f t="shared" si="13"/>
        <v>2024</v>
      </c>
      <c r="E251" t="s">
        <v>42</v>
      </c>
      <c r="F251" t="s">
        <v>13</v>
      </c>
      <c r="G251" t="s">
        <v>24</v>
      </c>
      <c r="H251" t="s">
        <v>32</v>
      </c>
      <c r="I251">
        <v>6</v>
      </c>
      <c r="J251">
        <v>1500</v>
      </c>
      <c r="K251">
        <v>15</v>
      </c>
      <c r="L251">
        <v>9000</v>
      </c>
      <c r="M251" s="7">
        <v>7650</v>
      </c>
      <c r="N251" s="19">
        <f t="shared" si="14"/>
        <v>42300</v>
      </c>
      <c r="O251" t="str">
        <f t="shared" si="15"/>
        <v>Normal</v>
      </c>
      <c r="P251">
        <f>_xlfn.XLOOKUP(E251,Products_Master!B:B,Products_Master!D:D)</f>
        <v>600</v>
      </c>
    </row>
    <row r="252" spans="1:16" x14ac:dyDescent="0.35">
      <c r="A252" t="s">
        <v>284</v>
      </c>
      <c r="B252" s="5">
        <v>45547</v>
      </c>
      <c r="C252" s="2" t="str">
        <f t="shared" si="12"/>
        <v>September</v>
      </c>
      <c r="D252" s="2" t="str">
        <f t="shared" si="13"/>
        <v>2024</v>
      </c>
      <c r="E252" t="s">
        <v>23</v>
      </c>
      <c r="F252" t="s">
        <v>13</v>
      </c>
      <c r="G252" t="s">
        <v>21</v>
      </c>
      <c r="H252" t="s">
        <v>34</v>
      </c>
      <c r="I252">
        <v>5</v>
      </c>
      <c r="J252">
        <v>120000</v>
      </c>
      <c r="K252">
        <v>0</v>
      </c>
      <c r="L252">
        <v>600000</v>
      </c>
      <c r="M252" s="7">
        <v>600000</v>
      </c>
      <c r="N252" s="19">
        <f t="shared" si="14"/>
        <v>2910000</v>
      </c>
      <c r="O252" t="str">
        <f t="shared" si="15"/>
        <v>Normal</v>
      </c>
      <c r="P252">
        <f>_xlfn.XLOOKUP(E252,Products_Master!B:B,Products_Master!D:D)</f>
        <v>18000</v>
      </c>
    </row>
    <row r="253" spans="1:16" x14ac:dyDescent="0.35">
      <c r="A253" t="s">
        <v>285</v>
      </c>
      <c r="B253" s="5">
        <v>45549</v>
      </c>
      <c r="C253" s="2" t="str">
        <f t="shared" si="12"/>
        <v>September</v>
      </c>
      <c r="D253" s="2" t="str">
        <f t="shared" si="13"/>
        <v>2024</v>
      </c>
      <c r="E253" t="s">
        <v>36</v>
      </c>
      <c r="F253" t="s">
        <v>13</v>
      </c>
      <c r="G253" t="s">
        <v>14</v>
      </c>
      <c r="H253" t="s">
        <v>49</v>
      </c>
      <c r="I253">
        <v>8</v>
      </c>
      <c r="J253">
        <v>15000</v>
      </c>
      <c r="K253">
        <v>10</v>
      </c>
      <c r="L253">
        <v>120000</v>
      </c>
      <c r="M253" s="7">
        <v>108000</v>
      </c>
      <c r="N253" s="19">
        <f t="shared" si="14"/>
        <v>857600</v>
      </c>
      <c r="O253" t="str">
        <f t="shared" si="15"/>
        <v>Normal</v>
      </c>
      <c r="P253">
        <f>_xlfn.XLOOKUP(E253,Products_Master!B:B,Products_Master!D:D)</f>
        <v>800</v>
      </c>
    </row>
    <row r="254" spans="1:16" x14ac:dyDescent="0.35">
      <c r="A254" t="s">
        <v>286</v>
      </c>
      <c r="B254" s="5">
        <v>45549</v>
      </c>
      <c r="C254" s="2" t="str">
        <f t="shared" si="12"/>
        <v>September</v>
      </c>
      <c r="D254" s="2" t="str">
        <f t="shared" si="13"/>
        <v>2024</v>
      </c>
      <c r="E254" t="s">
        <v>12</v>
      </c>
      <c r="F254" t="s">
        <v>13</v>
      </c>
      <c r="G254" t="s">
        <v>37</v>
      </c>
      <c r="H254" t="s">
        <v>29</v>
      </c>
      <c r="I254">
        <v>7</v>
      </c>
      <c r="J254">
        <v>1500</v>
      </c>
      <c r="K254">
        <v>10</v>
      </c>
      <c r="L254">
        <v>10500</v>
      </c>
      <c r="M254" s="7">
        <v>9450</v>
      </c>
      <c r="N254" s="19">
        <f t="shared" si="14"/>
        <v>-178850</v>
      </c>
      <c r="O254" t="str">
        <f t="shared" si="15"/>
        <v>Normal</v>
      </c>
      <c r="P254">
        <f>_xlfn.XLOOKUP(E254,Products_Master!B:B,Products_Master!D:D)</f>
        <v>35000</v>
      </c>
    </row>
    <row r="255" spans="1:16" x14ac:dyDescent="0.35">
      <c r="A255" t="s">
        <v>287</v>
      </c>
      <c r="B255" s="5">
        <v>45552</v>
      </c>
      <c r="C255" s="2" t="str">
        <f t="shared" si="12"/>
        <v>September</v>
      </c>
      <c r="D255" s="2" t="str">
        <f t="shared" si="13"/>
        <v>2024</v>
      </c>
      <c r="E255" t="s">
        <v>54</v>
      </c>
      <c r="F255" t="s">
        <v>13</v>
      </c>
      <c r="G255" t="s">
        <v>19</v>
      </c>
      <c r="H255" t="s">
        <v>15</v>
      </c>
      <c r="I255">
        <v>1</v>
      </c>
      <c r="J255">
        <v>2500</v>
      </c>
      <c r="K255">
        <v>5</v>
      </c>
      <c r="L255">
        <v>2500</v>
      </c>
      <c r="M255" s="7">
        <v>2375</v>
      </c>
      <c r="N255" s="19">
        <f t="shared" si="14"/>
        <v>-67625</v>
      </c>
      <c r="O255" t="str">
        <f t="shared" si="15"/>
        <v>Normal</v>
      </c>
      <c r="P255">
        <f>_xlfn.XLOOKUP(E255,Products_Master!B:B,Products_Master!D:D)</f>
        <v>70000</v>
      </c>
    </row>
    <row r="256" spans="1:16" x14ac:dyDescent="0.35">
      <c r="A256" t="s">
        <v>288</v>
      </c>
      <c r="B256" s="5">
        <v>45557</v>
      </c>
      <c r="C256" s="2" t="str">
        <f t="shared" si="12"/>
        <v>September</v>
      </c>
      <c r="D256" s="2" t="str">
        <f t="shared" si="13"/>
        <v>2024</v>
      </c>
      <c r="E256" t="s">
        <v>42</v>
      </c>
      <c r="F256" t="s">
        <v>18</v>
      </c>
      <c r="G256" t="s">
        <v>24</v>
      </c>
      <c r="H256" t="s">
        <v>49</v>
      </c>
      <c r="I256">
        <v>9</v>
      </c>
      <c r="J256">
        <v>45000</v>
      </c>
      <c r="K256">
        <v>0</v>
      </c>
      <c r="L256">
        <v>405000</v>
      </c>
      <c r="M256" s="7">
        <v>405000</v>
      </c>
      <c r="N256" s="19">
        <f t="shared" si="14"/>
        <v>3639600</v>
      </c>
      <c r="O256" t="str">
        <f t="shared" si="15"/>
        <v>Normal</v>
      </c>
      <c r="P256">
        <f>_xlfn.XLOOKUP(E256,Products_Master!B:B,Products_Master!D:D)</f>
        <v>600</v>
      </c>
    </row>
    <row r="257" spans="1:16" x14ac:dyDescent="0.35">
      <c r="A257" t="s">
        <v>289</v>
      </c>
      <c r="B257" s="5">
        <v>45559</v>
      </c>
      <c r="C257" s="2" t="str">
        <f t="shared" si="12"/>
        <v>September</v>
      </c>
      <c r="D257" s="2" t="str">
        <f t="shared" si="13"/>
        <v>2024</v>
      </c>
      <c r="E257" t="s">
        <v>23</v>
      </c>
      <c r="F257" t="s">
        <v>18</v>
      </c>
      <c r="G257" t="s">
        <v>19</v>
      </c>
      <c r="H257" t="s">
        <v>34</v>
      </c>
      <c r="I257">
        <v>4</v>
      </c>
      <c r="J257">
        <v>45000</v>
      </c>
      <c r="K257">
        <v>0</v>
      </c>
      <c r="L257">
        <v>180000</v>
      </c>
      <c r="M257" s="7">
        <v>180000</v>
      </c>
      <c r="N257" s="19">
        <f t="shared" si="14"/>
        <v>648000</v>
      </c>
      <c r="O257" t="str">
        <f t="shared" si="15"/>
        <v>Normal</v>
      </c>
      <c r="P257">
        <f>_xlfn.XLOOKUP(E257,Products_Master!B:B,Products_Master!D:D)</f>
        <v>18000</v>
      </c>
    </row>
    <row r="258" spans="1:16" x14ac:dyDescent="0.35">
      <c r="A258" t="s">
        <v>290</v>
      </c>
      <c r="B258" s="5">
        <v>45559</v>
      </c>
      <c r="C258" s="2" t="str">
        <f t="shared" si="12"/>
        <v>September</v>
      </c>
      <c r="D258" s="2" t="str">
        <f t="shared" si="13"/>
        <v>2024</v>
      </c>
      <c r="E258" t="s">
        <v>42</v>
      </c>
      <c r="F258" t="s">
        <v>13</v>
      </c>
      <c r="G258" t="s">
        <v>37</v>
      </c>
      <c r="H258" t="s">
        <v>15</v>
      </c>
      <c r="I258">
        <v>1</v>
      </c>
      <c r="J258">
        <v>45000</v>
      </c>
      <c r="K258">
        <v>5</v>
      </c>
      <c r="L258">
        <v>45000</v>
      </c>
      <c r="M258" s="7">
        <v>42750</v>
      </c>
      <c r="N258" s="19">
        <f t="shared" si="14"/>
        <v>42150</v>
      </c>
      <c r="O258" t="str">
        <f t="shared" si="15"/>
        <v>Normal</v>
      </c>
      <c r="P258">
        <f>_xlfn.XLOOKUP(E258,Products_Master!B:B,Products_Master!D:D)</f>
        <v>600</v>
      </c>
    </row>
    <row r="259" spans="1:16" x14ac:dyDescent="0.35">
      <c r="A259" t="s">
        <v>291</v>
      </c>
      <c r="B259" s="5">
        <v>45560</v>
      </c>
      <c r="C259" s="2" t="str">
        <f t="shared" ref="C259:C322" si="16">TEXT(B259,"MMMM")</f>
        <v>September</v>
      </c>
      <c r="D259" s="2" t="str">
        <f t="shared" ref="D259:D322" si="17">TEXT(B259,"yyy")</f>
        <v>2024</v>
      </c>
      <c r="E259" t="s">
        <v>12</v>
      </c>
      <c r="F259" t="s">
        <v>13</v>
      </c>
      <c r="G259" t="s">
        <v>39</v>
      </c>
      <c r="H259" t="s">
        <v>32</v>
      </c>
      <c r="I259">
        <v>4</v>
      </c>
      <c r="J259">
        <v>85000</v>
      </c>
      <c r="K259">
        <v>0</v>
      </c>
      <c r="L259">
        <v>340000</v>
      </c>
      <c r="M259" s="7">
        <v>340000</v>
      </c>
      <c r="N259" s="19">
        <f t="shared" ref="N259:N322" si="18">(M259-P259)*I259</f>
        <v>1220000</v>
      </c>
      <c r="O259" t="str">
        <f t="shared" ref="O259:O322" si="19">IF(K259=15%,"Very High ",IF(K259=10%,"High Discount","Normal"))</f>
        <v>Normal</v>
      </c>
      <c r="P259">
        <f>_xlfn.XLOOKUP(E259,Products_Master!B:B,Products_Master!D:D)</f>
        <v>35000</v>
      </c>
    </row>
    <row r="260" spans="1:16" x14ac:dyDescent="0.35">
      <c r="A260" t="s">
        <v>292</v>
      </c>
      <c r="B260" s="5">
        <v>45561</v>
      </c>
      <c r="C260" s="2" t="str">
        <f t="shared" si="16"/>
        <v>September</v>
      </c>
      <c r="D260" s="2" t="str">
        <f t="shared" si="17"/>
        <v>2024</v>
      </c>
      <c r="E260" t="s">
        <v>17</v>
      </c>
      <c r="F260" t="s">
        <v>13</v>
      </c>
      <c r="G260" t="s">
        <v>37</v>
      </c>
      <c r="H260" t="s">
        <v>40</v>
      </c>
      <c r="I260">
        <v>4</v>
      </c>
      <c r="J260">
        <v>8000</v>
      </c>
      <c r="K260">
        <v>0</v>
      </c>
      <c r="L260">
        <v>32000</v>
      </c>
      <c r="M260" s="7">
        <v>32000</v>
      </c>
      <c r="N260" s="19">
        <f t="shared" si="18"/>
        <v>120000</v>
      </c>
      <c r="O260" t="str">
        <f t="shared" si="19"/>
        <v>Normal</v>
      </c>
      <c r="P260">
        <f>_xlfn.XLOOKUP(E260,Products_Master!B:B,Products_Master!D:D)</f>
        <v>2000</v>
      </c>
    </row>
    <row r="261" spans="1:16" x14ac:dyDescent="0.35">
      <c r="A261" t="s">
        <v>293</v>
      </c>
      <c r="B261" s="5">
        <v>45561</v>
      </c>
      <c r="C261" s="2" t="str">
        <f t="shared" si="16"/>
        <v>September</v>
      </c>
      <c r="D261" s="2" t="str">
        <f t="shared" si="17"/>
        <v>2024</v>
      </c>
      <c r="E261" t="s">
        <v>42</v>
      </c>
      <c r="F261" t="s">
        <v>18</v>
      </c>
      <c r="G261" t="s">
        <v>39</v>
      </c>
      <c r="H261" t="s">
        <v>29</v>
      </c>
      <c r="I261">
        <v>6</v>
      </c>
      <c r="J261">
        <v>15000</v>
      </c>
      <c r="K261">
        <v>0</v>
      </c>
      <c r="L261">
        <v>90000</v>
      </c>
      <c r="M261" s="7">
        <v>90000</v>
      </c>
      <c r="N261" s="19">
        <f t="shared" si="18"/>
        <v>536400</v>
      </c>
      <c r="O261" t="str">
        <f t="shared" si="19"/>
        <v>Normal</v>
      </c>
      <c r="P261">
        <f>_xlfn.XLOOKUP(E261,Products_Master!B:B,Products_Master!D:D)</f>
        <v>600</v>
      </c>
    </row>
    <row r="262" spans="1:16" x14ac:dyDescent="0.35">
      <c r="A262" t="s">
        <v>294</v>
      </c>
      <c r="B262" s="5">
        <v>45562</v>
      </c>
      <c r="C262" s="2" t="str">
        <f t="shared" si="16"/>
        <v>September</v>
      </c>
      <c r="D262" s="2" t="str">
        <f t="shared" si="17"/>
        <v>2024</v>
      </c>
      <c r="E262" t="s">
        <v>17</v>
      </c>
      <c r="F262" t="s">
        <v>13</v>
      </c>
      <c r="G262" t="s">
        <v>24</v>
      </c>
      <c r="H262" t="s">
        <v>15</v>
      </c>
      <c r="I262">
        <v>5</v>
      </c>
      <c r="J262">
        <v>2500</v>
      </c>
      <c r="K262">
        <v>0</v>
      </c>
      <c r="L262">
        <v>12500</v>
      </c>
      <c r="M262" s="7">
        <v>12500</v>
      </c>
      <c r="N262" s="19">
        <f t="shared" si="18"/>
        <v>52500</v>
      </c>
      <c r="O262" t="str">
        <f t="shared" si="19"/>
        <v>Normal</v>
      </c>
      <c r="P262">
        <f>_xlfn.XLOOKUP(E262,Products_Master!B:B,Products_Master!D:D)</f>
        <v>2000</v>
      </c>
    </row>
    <row r="263" spans="1:16" x14ac:dyDescent="0.35">
      <c r="A263" t="s">
        <v>295</v>
      </c>
      <c r="B263" s="5">
        <v>45562</v>
      </c>
      <c r="C263" s="2" t="str">
        <f t="shared" si="16"/>
        <v>September</v>
      </c>
      <c r="D263" s="2" t="str">
        <f t="shared" si="17"/>
        <v>2024</v>
      </c>
      <c r="E263" t="s">
        <v>54</v>
      </c>
      <c r="F263" t="s">
        <v>13</v>
      </c>
      <c r="G263" t="s">
        <v>39</v>
      </c>
      <c r="H263" t="s">
        <v>15</v>
      </c>
      <c r="I263">
        <v>4</v>
      </c>
      <c r="J263">
        <v>120000</v>
      </c>
      <c r="K263">
        <v>5</v>
      </c>
      <c r="L263">
        <v>480000</v>
      </c>
      <c r="M263" s="7">
        <v>456000</v>
      </c>
      <c r="N263" s="19">
        <f t="shared" si="18"/>
        <v>1544000</v>
      </c>
      <c r="O263" t="str">
        <f t="shared" si="19"/>
        <v>Normal</v>
      </c>
      <c r="P263">
        <f>_xlfn.XLOOKUP(E263,Products_Master!B:B,Products_Master!D:D)</f>
        <v>70000</v>
      </c>
    </row>
    <row r="264" spans="1:16" x14ac:dyDescent="0.35">
      <c r="A264" t="s">
        <v>296</v>
      </c>
      <c r="B264" s="5">
        <v>45562</v>
      </c>
      <c r="C264" s="2" t="str">
        <f t="shared" si="16"/>
        <v>September</v>
      </c>
      <c r="D264" s="2" t="str">
        <f t="shared" si="17"/>
        <v>2024</v>
      </c>
      <c r="E264" t="s">
        <v>36</v>
      </c>
      <c r="F264" t="s">
        <v>18</v>
      </c>
      <c r="G264" t="s">
        <v>21</v>
      </c>
      <c r="H264" t="s">
        <v>29</v>
      </c>
      <c r="I264">
        <v>8</v>
      </c>
      <c r="J264">
        <v>2500</v>
      </c>
      <c r="K264">
        <v>0</v>
      </c>
      <c r="L264">
        <v>20000</v>
      </c>
      <c r="M264" s="7">
        <v>20000</v>
      </c>
      <c r="N264" s="19">
        <f t="shared" si="18"/>
        <v>153600</v>
      </c>
      <c r="O264" t="str">
        <f t="shared" si="19"/>
        <v>Normal</v>
      </c>
      <c r="P264">
        <f>_xlfn.XLOOKUP(E264,Products_Master!B:B,Products_Master!D:D)</f>
        <v>800</v>
      </c>
    </row>
    <row r="265" spans="1:16" x14ac:dyDescent="0.35">
      <c r="A265" t="s">
        <v>297</v>
      </c>
      <c r="B265" s="5">
        <v>45563</v>
      </c>
      <c r="C265" s="2" t="str">
        <f t="shared" si="16"/>
        <v>September</v>
      </c>
      <c r="D265" s="2" t="str">
        <f t="shared" si="17"/>
        <v>2024</v>
      </c>
      <c r="E265" t="s">
        <v>23</v>
      </c>
      <c r="F265" t="s">
        <v>13</v>
      </c>
      <c r="G265" t="s">
        <v>37</v>
      </c>
      <c r="H265" t="s">
        <v>34</v>
      </c>
      <c r="I265">
        <v>7</v>
      </c>
      <c r="J265">
        <v>1500</v>
      </c>
      <c r="K265">
        <v>0</v>
      </c>
      <c r="L265">
        <v>10500</v>
      </c>
      <c r="M265" s="7">
        <v>10500</v>
      </c>
      <c r="N265" s="19">
        <f t="shared" si="18"/>
        <v>-52500</v>
      </c>
      <c r="O265" t="str">
        <f t="shared" si="19"/>
        <v>Normal</v>
      </c>
      <c r="P265">
        <f>_xlfn.XLOOKUP(E265,Products_Master!B:B,Products_Master!D:D)</f>
        <v>18000</v>
      </c>
    </row>
    <row r="266" spans="1:16" x14ac:dyDescent="0.35">
      <c r="A266" t="s">
        <v>298</v>
      </c>
      <c r="B266" s="5">
        <v>45563</v>
      </c>
      <c r="C266" s="2" t="str">
        <f t="shared" si="16"/>
        <v>September</v>
      </c>
      <c r="D266" s="2" t="str">
        <f t="shared" si="17"/>
        <v>2024</v>
      </c>
      <c r="E266" t="s">
        <v>31</v>
      </c>
      <c r="F266" t="s">
        <v>13</v>
      </c>
      <c r="G266" t="s">
        <v>21</v>
      </c>
      <c r="H266" t="s">
        <v>15</v>
      </c>
      <c r="I266">
        <v>3</v>
      </c>
      <c r="J266">
        <v>45000</v>
      </c>
      <c r="K266">
        <v>0</v>
      </c>
      <c r="L266">
        <v>135000</v>
      </c>
      <c r="M266" s="7">
        <v>135000</v>
      </c>
      <c r="N266" s="19">
        <f t="shared" si="18"/>
        <v>360000</v>
      </c>
      <c r="O266" t="str">
        <f t="shared" si="19"/>
        <v>Normal</v>
      </c>
      <c r="P266">
        <f>_xlfn.XLOOKUP(E266,Products_Master!B:B,Products_Master!D:D)</f>
        <v>15000</v>
      </c>
    </row>
    <row r="267" spans="1:16" x14ac:dyDescent="0.35">
      <c r="A267" t="s">
        <v>299</v>
      </c>
      <c r="B267" s="5">
        <v>45563</v>
      </c>
      <c r="C267" s="2" t="str">
        <f t="shared" si="16"/>
        <v>September</v>
      </c>
      <c r="D267" s="2" t="str">
        <f t="shared" si="17"/>
        <v>2024</v>
      </c>
      <c r="E267" t="s">
        <v>31</v>
      </c>
      <c r="F267" t="s">
        <v>18</v>
      </c>
      <c r="G267" t="s">
        <v>21</v>
      </c>
      <c r="H267" t="s">
        <v>32</v>
      </c>
      <c r="I267">
        <v>1</v>
      </c>
      <c r="J267">
        <v>120000</v>
      </c>
      <c r="K267">
        <v>0</v>
      </c>
      <c r="L267">
        <v>120000</v>
      </c>
      <c r="M267" s="7">
        <v>120000</v>
      </c>
      <c r="N267" s="19">
        <f t="shared" si="18"/>
        <v>105000</v>
      </c>
      <c r="O267" t="str">
        <f t="shared" si="19"/>
        <v>Normal</v>
      </c>
      <c r="P267">
        <f>_xlfn.XLOOKUP(E267,Products_Master!B:B,Products_Master!D:D)</f>
        <v>15000</v>
      </c>
    </row>
    <row r="268" spans="1:16" x14ac:dyDescent="0.35">
      <c r="A268" t="s">
        <v>300</v>
      </c>
      <c r="B268" s="5">
        <v>45563</v>
      </c>
      <c r="C268" s="2" t="str">
        <f t="shared" si="16"/>
        <v>September</v>
      </c>
      <c r="D268" s="2" t="str">
        <f t="shared" si="17"/>
        <v>2024</v>
      </c>
      <c r="E268" t="s">
        <v>23</v>
      </c>
      <c r="F268" t="s">
        <v>13</v>
      </c>
      <c r="G268" t="s">
        <v>21</v>
      </c>
      <c r="H268" t="s">
        <v>49</v>
      </c>
      <c r="I268">
        <v>2</v>
      </c>
      <c r="J268">
        <v>1500</v>
      </c>
      <c r="K268">
        <v>5</v>
      </c>
      <c r="L268">
        <v>3000</v>
      </c>
      <c r="M268" s="7">
        <v>2850</v>
      </c>
      <c r="N268" s="19">
        <f t="shared" si="18"/>
        <v>-30300</v>
      </c>
      <c r="O268" t="str">
        <f t="shared" si="19"/>
        <v>Normal</v>
      </c>
      <c r="P268">
        <f>_xlfn.XLOOKUP(E268,Products_Master!B:B,Products_Master!D:D)</f>
        <v>18000</v>
      </c>
    </row>
    <row r="269" spans="1:16" x14ac:dyDescent="0.35">
      <c r="A269" t="s">
        <v>301</v>
      </c>
      <c r="B269" s="5">
        <v>45563</v>
      </c>
      <c r="C269" s="2" t="str">
        <f t="shared" si="16"/>
        <v>September</v>
      </c>
      <c r="D269" s="2" t="str">
        <f t="shared" si="17"/>
        <v>2024</v>
      </c>
      <c r="E269" t="s">
        <v>17</v>
      </c>
      <c r="F269" t="s">
        <v>13</v>
      </c>
      <c r="G269" t="s">
        <v>39</v>
      </c>
      <c r="H269" t="s">
        <v>15</v>
      </c>
      <c r="I269">
        <v>4</v>
      </c>
      <c r="J269">
        <v>1500</v>
      </c>
      <c r="K269">
        <v>15</v>
      </c>
      <c r="L269">
        <v>6000</v>
      </c>
      <c r="M269" s="7">
        <v>5100</v>
      </c>
      <c r="N269" s="19">
        <f t="shared" si="18"/>
        <v>12400</v>
      </c>
      <c r="O269" t="str">
        <f t="shared" si="19"/>
        <v>Normal</v>
      </c>
      <c r="P269">
        <f>_xlfn.XLOOKUP(E269,Products_Master!B:B,Products_Master!D:D)</f>
        <v>2000</v>
      </c>
    </row>
    <row r="270" spans="1:16" x14ac:dyDescent="0.35">
      <c r="A270" t="s">
        <v>302</v>
      </c>
      <c r="B270" s="5">
        <v>45563</v>
      </c>
      <c r="C270" s="2" t="str">
        <f t="shared" si="16"/>
        <v>September</v>
      </c>
      <c r="D270" s="2" t="str">
        <f t="shared" si="17"/>
        <v>2024</v>
      </c>
      <c r="E270" t="s">
        <v>31</v>
      </c>
      <c r="F270" t="s">
        <v>18</v>
      </c>
      <c r="G270" t="s">
        <v>24</v>
      </c>
      <c r="H270" t="s">
        <v>29</v>
      </c>
      <c r="I270">
        <v>1</v>
      </c>
      <c r="J270">
        <v>85000</v>
      </c>
      <c r="K270">
        <v>0</v>
      </c>
      <c r="L270">
        <v>85000</v>
      </c>
      <c r="M270" s="7">
        <v>85000</v>
      </c>
      <c r="N270" s="19">
        <f t="shared" si="18"/>
        <v>70000</v>
      </c>
      <c r="O270" t="str">
        <f t="shared" si="19"/>
        <v>Normal</v>
      </c>
      <c r="P270">
        <f>_xlfn.XLOOKUP(E270,Products_Master!B:B,Products_Master!D:D)</f>
        <v>15000</v>
      </c>
    </row>
    <row r="271" spans="1:16" x14ac:dyDescent="0.35">
      <c r="A271" t="s">
        <v>303</v>
      </c>
      <c r="B271" s="5">
        <v>45565</v>
      </c>
      <c r="C271" s="2" t="str">
        <f t="shared" si="16"/>
        <v>September</v>
      </c>
      <c r="D271" s="2" t="str">
        <f t="shared" si="17"/>
        <v>2024</v>
      </c>
      <c r="E271" t="s">
        <v>23</v>
      </c>
      <c r="F271" t="s">
        <v>13</v>
      </c>
      <c r="G271" t="s">
        <v>37</v>
      </c>
      <c r="H271" t="s">
        <v>29</v>
      </c>
      <c r="I271">
        <v>2</v>
      </c>
      <c r="J271">
        <v>1500</v>
      </c>
      <c r="K271">
        <v>0</v>
      </c>
      <c r="L271">
        <v>3000</v>
      </c>
      <c r="M271" s="7">
        <v>3000</v>
      </c>
      <c r="N271" s="19">
        <f t="shared" si="18"/>
        <v>-30000</v>
      </c>
      <c r="O271" t="str">
        <f t="shared" si="19"/>
        <v>Normal</v>
      </c>
      <c r="P271">
        <f>_xlfn.XLOOKUP(E271,Products_Master!B:B,Products_Master!D:D)</f>
        <v>18000</v>
      </c>
    </row>
    <row r="272" spans="1:16" x14ac:dyDescent="0.35">
      <c r="A272" t="s">
        <v>304</v>
      </c>
      <c r="B272" s="5">
        <v>45565</v>
      </c>
      <c r="C272" s="2" t="str">
        <f t="shared" si="16"/>
        <v>September</v>
      </c>
      <c r="D272" s="2" t="str">
        <f t="shared" si="17"/>
        <v>2024</v>
      </c>
      <c r="E272" t="s">
        <v>36</v>
      </c>
      <c r="F272" t="s">
        <v>18</v>
      </c>
      <c r="G272" t="s">
        <v>24</v>
      </c>
      <c r="H272" t="s">
        <v>34</v>
      </c>
      <c r="I272">
        <v>2</v>
      </c>
      <c r="J272">
        <v>1500</v>
      </c>
      <c r="K272">
        <v>0</v>
      </c>
      <c r="L272">
        <v>3000</v>
      </c>
      <c r="M272" s="7">
        <v>3000</v>
      </c>
      <c r="N272" s="19">
        <f t="shared" si="18"/>
        <v>4400</v>
      </c>
      <c r="O272" t="str">
        <f t="shared" si="19"/>
        <v>Normal</v>
      </c>
      <c r="P272">
        <f>_xlfn.XLOOKUP(E272,Products_Master!B:B,Products_Master!D:D)</f>
        <v>800</v>
      </c>
    </row>
    <row r="273" spans="1:16" x14ac:dyDescent="0.35">
      <c r="A273" t="s">
        <v>305</v>
      </c>
      <c r="B273" s="5">
        <v>45565</v>
      </c>
      <c r="C273" s="2" t="str">
        <f t="shared" si="16"/>
        <v>September</v>
      </c>
      <c r="D273" s="2" t="str">
        <f t="shared" si="17"/>
        <v>2024</v>
      </c>
      <c r="E273" t="s">
        <v>17</v>
      </c>
      <c r="F273" t="s">
        <v>18</v>
      </c>
      <c r="G273" t="s">
        <v>21</v>
      </c>
      <c r="H273" t="s">
        <v>40</v>
      </c>
      <c r="I273">
        <v>2</v>
      </c>
      <c r="J273">
        <v>85000</v>
      </c>
      <c r="K273">
        <v>10</v>
      </c>
      <c r="L273">
        <v>170000</v>
      </c>
      <c r="M273" s="7">
        <v>153000</v>
      </c>
      <c r="N273" s="19">
        <f t="shared" si="18"/>
        <v>302000</v>
      </c>
      <c r="O273" t="str">
        <f t="shared" si="19"/>
        <v>Normal</v>
      </c>
      <c r="P273">
        <f>_xlfn.XLOOKUP(E273,Products_Master!B:B,Products_Master!D:D)</f>
        <v>2000</v>
      </c>
    </row>
    <row r="274" spans="1:16" x14ac:dyDescent="0.35">
      <c r="A274" t="s">
        <v>306</v>
      </c>
      <c r="B274" s="5">
        <v>45566</v>
      </c>
      <c r="C274" s="2" t="str">
        <f t="shared" si="16"/>
        <v>October</v>
      </c>
      <c r="D274" s="2" t="str">
        <f t="shared" si="17"/>
        <v>2024</v>
      </c>
      <c r="E274" t="s">
        <v>36</v>
      </c>
      <c r="F274" t="s">
        <v>13</v>
      </c>
      <c r="G274" t="s">
        <v>37</v>
      </c>
      <c r="H274" t="s">
        <v>49</v>
      </c>
      <c r="I274">
        <v>5</v>
      </c>
      <c r="J274">
        <v>85000</v>
      </c>
      <c r="K274">
        <v>0</v>
      </c>
      <c r="L274">
        <v>425000</v>
      </c>
      <c r="M274" s="7">
        <v>425000</v>
      </c>
      <c r="N274" s="19">
        <f t="shared" si="18"/>
        <v>2121000</v>
      </c>
      <c r="O274" t="str">
        <f t="shared" si="19"/>
        <v>Normal</v>
      </c>
      <c r="P274">
        <f>_xlfn.XLOOKUP(E274,Products_Master!B:B,Products_Master!D:D)</f>
        <v>800</v>
      </c>
    </row>
    <row r="275" spans="1:16" x14ac:dyDescent="0.35">
      <c r="A275" t="s">
        <v>307</v>
      </c>
      <c r="B275" s="5">
        <v>45568</v>
      </c>
      <c r="C275" s="2" t="str">
        <f t="shared" si="16"/>
        <v>October</v>
      </c>
      <c r="D275" s="2" t="str">
        <f t="shared" si="17"/>
        <v>2024</v>
      </c>
      <c r="E275" t="s">
        <v>17</v>
      </c>
      <c r="F275" t="s">
        <v>18</v>
      </c>
      <c r="G275" t="s">
        <v>39</v>
      </c>
      <c r="H275" t="s">
        <v>40</v>
      </c>
      <c r="I275">
        <v>2</v>
      </c>
      <c r="J275">
        <v>1500</v>
      </c>
      <c r="K275">
        <v>0</v>
      </c>
      <c r="L275">
        <v>3000</v>
      </c>
      <c r="M275" s="7">
        <v>3000</v>
      </c>
      <c r="N275" s="19">
        <f t="shared" si="18"/>
        <v>2000</v>
      </c>
      <c r="O275" t="str">
        <f t="shared" si="19"/>
        <v>Normal</v>
      </c>
      <c r="P275">
        <f>_xlfn.XLOOKUP(E275,Products_Master!B:B,Products_Master!D:D)</f>
        <v>2000</v>
      </c>
    </row>
    <row r="276" spans="1:16" x14ac:dyDescent="0.35">
      <c r="A276" t="s">
        <v>308</v>
      </c>
      <c r="B276" s="5">
        <v>45570</v>
      </c>
      <c r="C276" s="2" t="str">
        <f t="shared" si="16"/>
        <v>October</v>
      </c>
      <c r="D276" s="2" t="str">
        <f t="shared" si="17"/>
        <v>2024</v>
      </c>
      <c r="E276" t="s">
        <v>17</v>
      </c>
      <c r="F276" t="s">
        <v>13</v>
      </c>
      <c r="G276" t="s">
        <v>39</v>
      </c>
      <c r="H276" t="s">
        <v>34</v>
      </c>
      <c r="I276">
        <v>7</v>
      </c>
      <c r="J276">
        <v>1500</v>
      </c>
      <c r="K276">
        <v>5</v>
      </c>
      <c r="L276">
        <v>10500</v>
      </c>
      <c r="M276" s="7">
        <v>9975</v>
      </c>
      <c r="N276" s="19">
        <f t="shared" si="18"/>
        <v>55825</v>
      </c>
      <c r="O276" t="str">
        <f t="shared" si="19"/>
        <v>Normal</v>
      </c>
      <c r="P276">
        <f>_xlfn.XLOOKUP(E276,Products_Master!B:B,Products_Master!D:D)</f>
        <v>2000</v>
      </c>
    </row>
    <row r="277" spans="1:16" x14ac:dyDescent="0.35">
      <c r="A277" t="s">
        <v>309</v>
      </c>
      <c r="B277" s="5">
        <v>45570</v>
      </c>
      <c r="C277" s="2" t="str">
        <f t="shared" si="16"/>
        <v>October</v>
      </c>
      <c r="D277" s="2" t="str">
        <f t="shared" si="17"/>
        <v>2024</v>
      </c>
      <c r="E277" t="s">
        <v>54</v>
      </c>
      <c r="F277" t="s">
        <v>18</v>
      </c>
      <c r="G277" t="s">
        <v>37</v>
      </c>
      <c r="H277" t="s">
        <v>40</v>
      </c>
      <c r="I277">
        <v>1</v>
      </c>
      <c r="J277">
        <v>15000</v>
      </c>
      <c r="K277">
        <v>10</v>
      </c>
      <c r="L277">
        <v>15000</v>
      </c>
      <c r="M277" s="7">
        <v>13500</v>
      </c>
      <c r="N277" s="19">
        <f t="shared" si="18"/>
        <v>-56500</v>
      </c>
      <c r="O277" t="str">
        <f t="shared" si="19"/>
        <v>Normal</v>
      </c>
      <c r="P277">
        <f>_xlfn.XLOOKUP(E277,Products_Master!B:B,Products_Master!D:D)</f>
        <v>70000</v>
      </c>
    </row>
    <row r="278" spans="1:16" x14ac:dyDescent="0.35">
      <c r="A278" t="s">
        <v>310</v>
      </c>
      <c r="B278" s="5">
        <v>45573</v>
      </c>
      <c r="C278" s="2" t="str">
        <f t="shared" si="16"/>
        <v>October</v>
      </c>
      <c r="D278" s="2" t="str">
        <f t="shared" si="17"/>
        <v>2024</v>
      </c>
      <c r="E278" t="s">
        <v>36</v>
      </c>
      <c r="F278" t="s">
        <v>18</v>
      </c>
      <c r="G278" t="s">
        <v>19</v>
      </c>
      <c r="H278" t="s">
        <v>49</v>
      </c>
      <c r="I278">
        <v>8</v>
      </c>
      <c r="J278">
        <v>2500</v>
      </c>
      <c r="K278">
        <v>0</v>
      </c>
      <c r="L278">
        <v>20000</v>
      </c>
      <c r="M278" s="7">
        <v>20000</v>
      </c>
      <c r="N278" s="19">
        <f t="shared" si="18"/>
        <v>153600</v>
      </c>
      <c r="O278" t="str">
        <f t="shared" si="19"/>
        <v>Normal</v>
      </c>
      <c r="P278">
        <f>_xlfn.XLOOKUP(E278,Products_Master!B:B,Products_Master!D:D)</f>
        <v>800</v>
      </c>
    </row>
    <row r="279" spans="1:16" x14ac:dyDescent="0.35">
      <c r="A279" t="s">
        <v>311</v>
      </c>
      <c r="B279" s="5">
        <v>45573</v>
      </c>
      <c r="C279" s="2" t="str">
        <f t="shared" si="16"/>
        <v>October</v>
      </c>
      <c r="D279" s="2" t="str">
        <f t="shared" si="17"/>
        <v>2024</v>
      </c>
      <c r="E279" t="s">
        <v>36</v>
      </c>
      <c r="F279" t="s">
        <v>13</v>
      </c>
      <c r="G279" t="s">
        <v>24</v>
      </c>
      <c r="H279" t="s">
        <v>49</v>
      </c>
      <c r="I279">
        <v>3</v>
      </c>
      <c r="J279">
        <v>120000</v>
      </c>
      <c r="K279">
        <v>0</v>
      </c>
      <c r="L279">
        <v>360000</v>
      </c>
      <c r="M279" s="7">
        <v>360000</v>
      </c>
      <c r="N279" s="19">
        <f t="shared" si="18"/>
        <v>1077600</v>
      </c>
      <c r="O279" t="str">
        <f t="shared" si="19"/>
        <v>Normal</v>
      </c>
      <c r="P279">
        <f>_xlfn.XLOOKUP(E279,Products_Master!B:B,Products_Master!D:D)</f>
        <v>800</v>
      </c>
    </row>
    <row r="280" spans="1:16" x14ac:dyDescent="0.35">
      <c r="A280" t="s">
        <v>312</v>
      </c>
      <c r="B280" s="5">
        <v>45575</v>
      </c>
      <c r="C280" s="2" t="str">
        <f t="shared" si="16"/>
        <v>October</v>
      </c>
      <c r="D280" s="2" t="str">
        <f t="shared" si="17"/>
        <v>2024</v>
      </c>
      <c r="E280" t="s">
        <v>23</v>
      </c>
      <c r="F280" t="s">
        <v>13</v>
      </c>
      <c r="G280" t="s">
        <v>19</v>
      </c>
      <c r="H280" t="s">
        <v>34</v>
      </c>
      <c r="I280">
        <v>3</v>
      </c>
      <c r="J280">
        <v>8000</v>
      </c>
      <c r="K280">
        <v>0</v>
      </c>
      <c r="L280">
        <v>24000</v>
      </c>
      <c r="M280" s="7">
        <v>24000</v>
      </c>
      <c r="N280" s="19">
        <f t="shared" si="18"/>
        <v>18000</v>
      </c>
      <c r="O280" t="str">
        <f t="shared" si="19"/>
        <v>Normal</v>
      </c>
      <c r="P280">
        <f>_xlfn.XLOOKUP(E280,Products_Master!B:B,Products_Master!D:D)</f>
        <v>18000</v>
      </c>
    </row>
    <row r="281" spans="1:16" x14ac:dyDescent="0.35">
      <c r="A281" t="s">
        <v>313</v>
      </c>
      <c r="B281" s="5">
        <v>45575</v>
      </c>
      <c r="C281" s="2" t="str">
        <f t="shared" si="16"/>
        <v>October</v>
      </c>
      <c r="D281" s="2" t="str">
        <f t="shared" si="17"/>
        <v>2024</v>
      </c>
      <c r="E281" t="s">
        <v>17</v>
      </c>
      <c r="F281" t="s">
        <v>13</v>
      </c>
      <c r="G281" t="s">
        <v>21</v>
      </c>
      <c r="H281" t="s">
        <v>15</v>
      </c>
      <c r="I281">
        <v>7</v>
      </c>
      <c r="J281">
        <v>120000</v>
      </c>
      <c r="K281">
        <v>0</v>
      </c>
      <c r="L281">
        <v>840000</v>
      </c>
      <c r="M281" s="7">
        <v>840000</v>
      </c>
      <c r="N281" s="19">
        <f t="shared" si="18"/>
        <v>5866000</v>
      </c>
      <c r="O281" t="str">
        <f t="shared" si="19"/>
        <v>Normal</v>
      </c>
      <c r="P281">
        <f>_xlfn.XLOOKUP(E281,Products_Master!B:B,Products_Master!D:D)</f>
        <v>2000</v>
      </c>
    </row>
    <row r="282" spans="1:16" x14ac:dyDescent="0.35">
      <c r="A282" t="s">
        <v>314</v>
      </c>
      <c r="B282" s="5">
        <v>45576</v>
      </c>
      <c r="C282" s="2" t="str">
        <f t="shared" si="16"/>
        <v>October</v>
      </c>
      <c r="D282" s="2" t="str">
        <f t="shared" si="17"/>
        <v>2024</v>
      </c>
      <c r="E282" t="s">
        <v>42</v>
      </c>
      <c r="F282" t="s">
        <v>13</v>
      </c>
      <c r="G282" t="s">
        <v>24</v>
      </c>
      <c r="H282" t="s">
        <v>25</v>
      </c>
      <c r="I282">
        <v>5</v>
      </c>
      <c r="J282">
        <v>45000</v>
      </c>
      <c r="K282">
        <v>5</v>
      </c>
      <c r="L282">
        <v>225000</v>
      </c>
      <c r="M282" s="7">
        <v>213750</v>
      </c>
      <c r="N282" s="19">
        <f t="shared" si="18"/>
        <v>1065750</v>
      </c>
      <c r="O282" t="str">
        <f t="shared" si="19"/>
        <v>Normal</v>
      </c>
      <c r="P282">
        <f>_xlfn.XLOOKUP(E282,Products_Master!B:B,Products_Master!D:D)</f>
        <v>600</v>
      </c>
    </row>
    <row r="283" spans="1:16" x14ac:dyDescent="0.35">
      <c r="A283" t="s">
        <v>315</v>
      </c>
      <c r="B283" s="5">
        <v>45576</v>
      </c>
      <c r="C283" s="2" t="str">
        <f t="shared" si="16"/>
        <v>October</v>
      </c>
      <c r="D283" s="2" t="str">
        <f t="shared" si="17"/>
        <v>2024</v>
      </c>
      <c r="E283" t="s">
        <v>42</v>
      </c>
      <c r="F283" t="s">
        <v>18</v>
      </c>
      <c r="G283" t="s">
        <v>19</v>
      </c>
      <c r="H283" t="s">
        <v>40</v>
      </c>
      <c r="I283">
        <v>5</v>
      </c>
      <c r="J283">
        <v>8000</v>
      </c>
      <c r="K283">
        <v>5</v>
      </c>
      <c r="L283">
        <v>40000</v>
      </c>
      <c r="M283" s="7">
        <v>38000</v>
      </c>
      <c r="N283" s="19">
        <f t="shared" si="18"/>
        <v>187000</v>
      </c>
      <c r="O283" t="str">
        <f t="shared" si="19"/>
        <v>Normal</v>
      </c>
      <c r="P283">
        <f>_xlfn.XLOOKUP(E283,Products_Master!B:B,Products_Master!D:D)</f>
        <v>600</v>
      </c>
    </row>
    <row r="284" spans="1:16" x14ac:dyDescent="0.35">
      <c r="A284" t="s">
        <v>316</v>
      </c>
      <c r="B284" s="5">
        <v>45576</v>
      </c>
      <c r="C284" s="2" t="str">
        <f t="shared" si="16"/>
        <v>October</v>
      </c>
      <c r="D284" s="2" t="str">
        <f t="shared" si="17"/>
        <v>2024</v>
      </c>
      <c r="E284" t="s">
        <v>23</v>
      </c>
      <c r="F284" t="s">
        <v>13</v>
      </c>
      <c r="G284" t="s">
        <v>39</v>
      </c>
      <c r="H284" t="s">
        <v>40</v>
      </c>
      <c r="I284">
        <v>9</v>
      </c>
      <c r="J284">
        <v>85000</v>
      </c>
      <c r="K284">
        <v>0</v>
      </c>
      <c r="L284">
        <v>765000</v>
      </c>
      <c r="M284" s="7">
        <v>765000</v>
      </c>
      <c r="N284" s="19">
        <f t="shared" si="18"/>
        <v>6723000</v>
      </c>
      <c r="O284" t="str">
        <f t="shared" si="19"/>
        <v>Normal</v>
      </c>
      <c r="P284">
        <f>_xlfn.XLOOKUP(E284,Products_Master!B:B,Products_Master!D:D)</f>
        <v>18000</v>
      </c>
    </row>
    <row r="285" spans="1:16" x14ac:dyDescent="0.35">
      <c r="A285" t="s">
        <v>317</v>
      </c>
      <c r="B285" s="5">
        <v>45577</v>
      </c>
      <c r="C285" s="2" t="str">
        <f t="shared" si="16"/>
        <v>October</v>
      </c>
      <c r="D285" s="2" t="str">
        <f t="shared" si="17"/>
        <v>2024</v>
      </c>
      <c r="E285" t="s">
        <v>23</v>
      </c>
      <c r="F285" t="s">
        <v>13</v>
      </c>
      <c r="G285" t="s">
        <v>21</v>
      </c>
      <c r="H285" t="s">
        <v>29</v>
      </c>
      <c r="I285">
        <v>1</v>
      </c>
      <c r="J285">
        <v>45000</v>
      </c>
      <c r="K285">
        <v>10</v>
      </c>
      <c r="L285">
        <v>45000</v>
      </c>
      <c r="M285" s="7">
        <v>40500</v>
      </c>
      <c r="N285" s="19">
        <f t="shared" si="18"/>
        <v>22500</v>
      </c>
      <c r="O285" t="str">
        <f t="shared" si="19"/>
        <v>Normal</v>
      </c>
      <c r="P285">
        <f>_xlfn.XLOOKUP(E285,Products_Master!B:B,Products_Master!D:D)</f>
        <v>18000</v>
      </c>
    </row>
    <row r="286" spans="1:16" x14ac:dyDescent="0.35">
      <c r="A286" t="s">
        <v>318</v>
      </c>
      <c r="B286" s="5">
        <v>45577</v>
      </c>
      <c r="C286" s="2" t="str">
        <f t="shared" si="16"/>
        <v>October</v>
      </c>
      <c r="D286" s="2" t="str">
        <f t="shared" si="17"/>
        <v>2024</v>
      </c>
      <c r="E286" t="s">
        <v>17</v>
      </c>
      <c r="F286" t="s">
        <v>18</v>
      </c>
      <c r="G286" t="s">
        <v>21</v>
      </c>
      <c r="H286" t="s">
        <v>25</v>
      </c>
      <c r="I286">
        <v>9</v>
      </c>
      <c r="J286">
        <v>2500</v>
      </c>
      <c r="K286">
        <v>0</v>
      </c>
      <c r="L286">
        <v>22500</v>
      </c>
      <c r="M286" s="7">
        <v>22500</v>
      </c>
      <c r="N286" s="19">
        <f t="shared" si="18"/>
        <v>184500</v>
      </c>
      <c r="O286" t="str">
        <f t="shared" si="19"/>
        <v>Normal</v>
      </c>
      <c r="P286">
        <f>_xlfn.XLOOKUP(E286,Products_Master!B:B,Products_Master!D:D)</f>
        <v>2000</v>
      </c>
    </row>
    <row r="287" spans="1:16" x14ac:dyDescent="0.35">
      <c r="A287" t="s">
        <v>319</v>
      </c>
      <c r="B287" s="5">
        <v>45577</v>
      </c>
      <c r="C287" s="2" t="str">
        <f t="shared" si="16"/>
        <v>October</v>
      </c>
      <c r="D287" s="2" t="str">
        <f t="shared" si="17"/>
        <v>2024</v>
      </c>
      <c r="E287" t="s">
        <v>31</v>
      </c>
      <c r="F287" t="s">
        <v>13</v>
      </c>
      <c r="G287" t="s">
        <v>39</v>
      </c>
      <c r="H287" t="s">
        <v>25</v>
      </c>
      <c r="I287">
        <v>2</v>
      </c>
      <c r="J287">
        <v>8000</v>
      </c>
      <c r="K287">
        <v>0</v>
      </c>
      <c r="L287">
        <v>16000</v>
      </c>
      <c r="M287" s="7">
        <v>16000</v>
      </c>
      <c r="N287" s="19">
        <f t="shared" si="18"/>
        <v>2000</v>
      </c>
      <c r="O287" t="str">
        <f t="shared" si="19"/>
        <v>Normal</v>
      </c>
      <c r="P287">
        <f>_xlfn.XLOOKUP(E287,Products_Master!B:B,Products_Master!D:D)</f>
        <v>15000</v>
      </c>
    </row>
    <row r="288" spans="1:16" x14ac:dyDescent="0.35">
      <c r="A288" t="s">
        <v>320</v>
      </c>
      <c r="B288" s="5">
        <v>45577</v>
      </c>
      <c r="C288" s="2" t="str">
        <f t="shared" si="16"/>
        <v>October</v>
      </c>
      <c r="D288" s="2" t="str">
        <f t="shared" si="17"/>
        <v>2024</v>
      </c>
      <c r="E288" t="s">
        <v>27</v>
      </c>
      <c r="F288" t="s">
        <v>13</v>
      </c>
      <c r="G288" t="s">
        <v>19</v>
      </c>
      <c r="H288" t="s">
        <v>32</v>
      </c>
      <c r="I288">
        <v>7</v>
      </c>
      <c r="J288">
        <v>2500</v>
      </c>
      <c r="K288">
        <v>0</v>
      </c>
      <c r="L288">
        <v>17500</v>
      </c>
      <c r="M288" s="7">
        <v>17500</v>
      </c>
      <c r="N288" s="19">
        <f t="shared" si="18"/>
        <v>116200</v>
      </c>
      <c r="O288" t="str">
        <f t="shared" si="19"/>
        <v>Normal</v>
      </c>
      <c r="P288">
        <f>_xlfn.XLOOKUP(E288,Products_Master!B:B,Products_Master!D:D)</f>
        <v>900</v>
      </c>
    </row>
    <row r="289" spans="1:16" x14ac:dyDescent="0.35">
      <c r="A289" t="s">
        <v>321</v>
      </c>
      <c r="B289" s="5">
        <v>45580</v>
      </c>
      <c r="C289" s="2" t="str">
        <f t="shared" si="16"/>
        <v>October</v>
      </c>
      <c r="D289" s="2" t="str">
        <f t="shared" si="17"/>
        <v>2024</v>
      </c>
      <c r="E289" t="s">
        <v>23</v>
      </c>
      <c r="F289" t="s">
        <v>18</v>
      </c>
      <c r="G289" t="s">
        <v>19</v>
      </c>
      <c r="H289" t="s">
        <v>40</v>
      </c>
      <c r="I289">
        <v>9</v>
      </c>
      <c r="J289">
        <v>15000</v>
      </c>
      <c r="K289">
        <v>0</v>
      </c>
      <c r="L289">
        <v>135000</v>
      </c>
      <c r="M289" s="7">
        <v>135000</v>
      </c>
      <c r="N289" s="19">
        <f t="shared" si="18"/>
        <v>1053000</v>
      </c>
      <c r="O289" t="str">
        <f t="shared" si="19"/>
        <v>Normal</v>
      </c>
      <c r="P289">
        <f>_xlfn.XLOOKUP(E289,Products_Master!B:B,Products_Master!D:D)</f>
        <v>18000</v>
      </c>
    </row>
    <row r="290" spans="1:16" x14ac:dyDescent="0.35">
      <c r="A290" t="s">
        <v>322</v>
      </c>
      <c r="B290" s="5">
        <v>45582</v>
      </c>
      <c r="C290" s="2" t="str">
        <f t="shared" si="16"/>
        <v>October</v>
      </c>
      <c r="D290" s="2" t="str">
        <f t="shared" si="17"/>
        <v>2024</v>
      </c>
      <c r="E290" t="s">
        <v>42</v>
      </c>
      <c r="F290" t="s">
        <v>18</v>
      </c>
      <c r="G290" t="s">
        <v>39</v>
      </c>
      <c r="H290" t="s">
        <v>15</v>
      </c>
      <c r="I290">
        <v>1</v>
      </c>
      <c r="J290">
        <v>8000</v>
      </c>
      <c r="K290">
        <v>15</v>
      </c>
      <c r="L290">
        <v>8000</v>
      </c>
      <c r="M290" s="7">
        <v>6800</v>
      </c>
      <c r="N290" s="19">
        <f t="shared" si="18"/>
        <v>6200</v>
      </c>
      <c r="O290" t="str">
        <f t="shared" si="19"/>
        <v>Normal</v>
      </c>
      <c r="P290">
        <f>_xlfn.XLOOKUP(E290,Products_Master!B:B,Products_Master!D:D)</f>
        <v>600</v>
      </c>
    </row>
    <row r="291" spans="1:16" x14ac:dyDescent="0.35">
      <c r="A291" t="s">
        <v>323</v>
      </c>
      <c r="B291" s="5">
        <v>45583</v>
      </c>
      <c r="C291" s="2" t="str">
        <f t="shared" si="16"/>
        <v>October</v>
      </c>
      <c r="D291" s="2" t="str">
        <f t="shared" si="17"/>
        <v>2024</v>
      </c>
      <c r="E291" t="s">
        <v>54</v>
      </c>
      <c r="F291" t="s">
        <v>18</v>
      </c>
      <c r="G291" t="s">
        <v>19</v>
      </c>
      <c r="H291" t="s">
        <v>15</v>
      </c>
      <c r="I291">
        <v>5</v>
      </c>
      <c r="J291">
        <v>120000</v>
      </c>
      <c r="K291">
        <v>5</v>
      </c>
      <c r="L291">
        <v>600000</v>
      </c>
      <c r="M291" s="7">
        <v>570000</v>
      </c>
      <c r="N291" s="19">
        <f t="shared" si="18"/>
        <v>2500000</v>
      </c>
      <c r="O291" t="str">
        <f t="shared" si="19"/>
        <v>Normal</v>
      </c>
      <c r="P291">
        <f>_xlfn.XLOOKUP(E291,Products_Master!B:B,Products_Master!D:D)</f>
        <v>70000</v>
      </c>
    </row>
    <row r="292" spans="1:16" x14ac:dyDescent="0.35">
      <c r="A292" t="s">
        <v>324</v>
      </c>
      <c r="B292" s="5">
        <v>45584</v>
      </c>
      <c r="C292" s="2" t="str">
        <f t="shared" si="16"/>
        <v>October</v>
      </c>
      <c r="D292" s="2" t="str">
        <f t="shared" si="17"/>
        <v>2024</v>
      </c>
      <c r="E292" t="s">
        <v>31</v>
      </c>
      <c r="F292" t="s">
        <v>13</v>
      </c>
      <c r="G292" t="s">
        <v>19</v>
      </c>
      <c r="H292" t="s">
        <v>34</v>
      </c>
      <c r="I292">
        <v>4</v>
      </c>
      <c r="J292">
        <v>2500</v>
      </c>
      <c r="K292">
        <v>10</v>
      </c>
      <c r="L292">
        <v>10000</v>
      </c>
      <c r="M292" s="7">
        <v>9000</v>
      </c>
      <c r="N292" s="19">
        <f t="shared" si="18"/>
        <v>-24000</v>
      </c>
      <c r="O292" t="str">
        <f t="shared" si="19"/>
        <v>Normal</v>
      </c>
      <c r="P292">
        <f>_xlfn.XLOOKUP(E292,Products_Master!B:B,Products_Master!D:D)</f>
        <v>15000</v>
      </c>
    </row>
    <row r="293" spans="1:16" x14ac:dyDescent="0.35">
      <c r="A293" t="s">
        <v>325</v>
      </c>
      <c r="B293" s="5">
        <v>45584</v>
      </c>
      <c r="C293" s="2" t="str">
        <f t="shared" si="16"/>
        <v>October</v>
      </c>
      <c r="D293" s="2" t="str">
        <f t="shared" si="17"/>
        <v>2024</v>
      </c>
      <c r="E293" t="s">
        <v>12</v>
      </c>
      <c r="F293" t="s">
        <v>13</v>
      </c>
      <c r="G293" t="s">
        <v>24</v>
      </c>
      <c r="H293" t="s">
        <v>40</v>
      </c>
      <c r="I293">
        <v>7</v>
      </c>
      <c r="J293">
        <v>45000</v>
      </c>
      <c r="K293">
        <v>0</v>
      </c>
      <c r="L293">
        <v>315000</v>
      </c>
      <c r="M293" s="7">
        <v>315000</v>
      </c>
      <c r="N293" s="19">
        <f t="shared" si="18"/>
        <v>1960000</v>
      </c>
      <c r="O293" t="str">
        <f t="shared" si="19"/>
        <v>Normal</v>
      </c>
      <c r="P293">
        <f>_xlfn.XLOOKUP(E293,Products_Master!B:B,Products_Master!D:D)</f>
        <v>35000</v>
      </c>
    </row>
    <row r="294" spans="1:16" x14ac:dyDescent="0.35">
      <c r="A294" t="s">
        <v>326</v>
      </c>
      <c r="B294" s="5">
        <v>45585</v>
      </c>
      <c r="C294" s="2" t="str">
        <f t="shared" si="16"/>
        <v>October</v>
      </c>
      <c r="D294" s="2" t="str">
        <f t="shared" si="17"/>
        <v>2024</v>
      </c>
      <c r="E294" t="s">
        <v>31</v>
      </c>
      <c r="F294" t="s">
        <v>13</v>
      </c>
      <c r="G294" t="s">
        <v>37</v>
      </c>
      <c r="H294" t="s">
        <v>15</v>
      </c>
      <c r="I294">
        <v>8</v>
      </c>
      <c r="J294">
        <v>8000</v>
      </c>
      <c r="K294">
        <v>10</v>
      </c>
      <c r="L294">
        <v>64000</v>
      </c>
      <c r="M294" s="7">
        <v>57600</v>
      </c>
      <c r="N294" s="19">
        <f t="shared" si="18"/>
        <v>340800</v>
      </c>
      <c r="O294" t="str">
        <f t="shared" si="19"/>
        <v>Normal</v>
      </c>
      <c r="P294">
        <f>_xlfn.XLOOKUP(E294,Products_Master!B:B,Products_Master!D:D)</f>
        <v>15000</v>
      </c>
    </row>
    <row r="295" spans="1:16" x14ac:dyDescent="0.35">
      <c r="A295" t="s">
        <v>327</v>
      </c>
      <c r="B295" s="5">
        <v>45588</v>
      </c>
      <c r="C295" s="2" t="str">
        <f t="shared" si="16"/>
        <v>October</v>
      </c>
      <c r="D295" s="2" t="str">
        <f t="shared" si="17"/>
        <v>2024</v>
      </c>
      <c r="E295" t="s">
        <v>27</v>
      </c>
      <c r="F295" t="s">
        <v>18</v>
      </c>
      <c r="G295" t="s">
        <v>24</v>
      </c>
      <c r="H295" t="s">
        <v>40</v>
      </c>
      <c r="I295">
        <v>5</v>
      </c>
      <c r="J295">
        <v>2500</v>
      </c>
      <c r="K295">
        <v>10</v>
      </c>
      <c r="L295">
        <v>12500</v>
      </c>
      <c r="M295" s="7">
        <v>11250</v>
      </c>
      <c r="N295" s="19">
        <f t="shared" si="18"/>
        <v>51750</v>
      </c>
      <c r="O295" t="str">
        <f t="shared" si="19"/>
        <v>Normal</v>
      </c>
      <c r="P295">
        <f>_xlfn.XLOOKUP(E295,Products_Master!B:B,Products_Master!D:D)</f>
        <v>900</v>
      </c>
    </row>
    <row r="296" spans="1:16" x14ac:dyDescent="0.35">
      <c r="A296" t="s">
        <v>328</v>
      </c>
      <c r="B296" s="5">
        <v>45592</v>
      </c>
      <c r="C296" s="2" t="str">
        <f t="shared" si="16"/>
        <v>October</v>
      </c>
      <c r="D296" s="2" t="str">
        <f t="shared" si="17"/>
        <v>2024</v>
      </c>
      <c r="E296" t="s">
        <v>31</v>
      </c>
      <c r="F296" t="s">
        <v>13</v>
      </c>
      <c r="G296" t="s">
        <v>24</v>
      </c>
      <c r="H296" t="s">
        <v>32</v>
      </c>
      <c r="I296">
        <v>3</v>
      </c>
      <c r="J296">
        <v>120000</v>
      </c>
      <c r="K296">
        <v>5</v>
      </c>
      <c r="L296">
        <v>360000</v>
      </c>
      <c r="M296" s="7">
        <v>342000</v>
      </c>
      <c r="N296" s="19">
        <f t="shared" si="18"/>
        <v>981000</v>
      </c>
      <c r="O296" t="str">
        <f t="shared" si="19"/>
        <v>Normal</v>
      </c>
      <c r="P296">
        <f>_xlfn.XLOOKUP(E296,Products_Master!B:B,Products_Master!D:D)</f>
        <v>15000</v>
      </c>
    </row>
    <row r="297" spans="1:16" x14ac:dyDescent="0.35">
      <c r="A297" t="s">
        <v>329</v>
      </c>
      <c r="B297" s="5">
        <v>45592</v>
      </c>
      <c r="C297" s="2" t="str">
        <f t="shared" si="16"/>
        <v>October</v>
      </c>
      <c r="D297" s="2" t="str">
        <f t="shared" si="17"/>
        <v>2024</v>
      </c>
      <c r="E297" t="s">
        <v>27</v>
      </c>
      <c r="F297" t="s">
        <v>18</v>
      </c>
      <c r="G297" t="s">
        <v>24</v>
      </c>
      <c r="H297" t="s">
        <v>40</v>
      </c>
      <c r="I297">
        <v>8</v>
      </c>
      <c r="J297">
        <v>8000</v>
      </c>
      <c r="K297">
        <v>5</v>
      </c>
      <c r="L297">
        <v>64000</v>
      </c>
      <c r="M297" s="7">
        <v>60800</v>
      </c>
      <c r="N297" s="19">
        <f t="shared" si="18"/>
        <v>479200</v>
      </c>
      <c r="O297" t="str">
        <f t="shared" si="19"/>
        <v>Normal</v>
      </c>
      <c r="P297">
        <f>_xlfn.XLOOKUP(E297,Products_Master!B:B,Products_Master!D:D)</f>
        <v>900</v>
      </c>
    </row>
    <row r="298" spans="1:16" x14ac:dyDescent="0.35">
      <c r="A298" t="s">
        <v>330</v>
      </c>
      <c r="B298" s="5">
        <v>45594</v>
      </c>
      <c r="C298" s="2" t="str">
        <f t="shared" si="16"/>
        <v>October</v>
      </c>
      <c r="D298" s="2" t="str">
        <f t="shared" si="17"/>
        <v>2024</v>
      </c>
      <c r="E298" t="s">
        <v>42</v>
      </c>
      <c r="F298" t="s">
        <v>18</v>
      </c>
      <c r="G298" t="s">
        <v>24</v>
      </c>
      <c r="H298" t="s">
        <v>49</v>
      </c>
      <c r="I298">
        <v>4</v>
      </c>
      <c r="J298">
        <v>1500</v>
      </c>
      <c r="K298">
        <v>5</v>
      </c>
      <c r="L298">
        <v>6000</v>
      </c>
      <c r="M298" s="7">
        <v>5700</v>
      </c>
      <c r="N298" s="19">
        <f t="shared" si="18"/>
        <v>20400</v>
      </c>
      <c r="O298" t="str">
        <f t="shared" si="19"/>
        <v>Normal</v>
      </c>
      <c r="P298">
        <f>_xlfn.XLOOKUP(E298,Products_Master!B:B,Products_Master!D:D)</f>
        <v>600</v>
      </c>
    </row>
    <row r="299" spans="1:16" x14ac:dyDescent="0.35">
      <c r="A299" t="s">
        <v>331</v>
      </c>
      <c r="B299" s="5">
        <v>45595</v>
      </c>
      <c r="C299" s="2" t="str">
        <f t="shared" si="16"/>
        <v>October</v>
      </c>
      <c r="D299" s="2" t="str">
        <f t="shared" si="17"/>
        <v>2024</v>
      </c>
      <c r="E299" t="s">
        <v>42</v>
      </c>
      <c r="F299" t="s">
        <v>13</v>
      </c>
      <c r="G299" t="s">
        <v>39</v>
      </c>
      <c r="H299" t="s">
        <v>40</v>
      </c>
      <c r="I299">
        <v>6</v>
      </c>
      <c r="J299">
        <v>1500</v>
      </c>
      <c r="K299">
        <v>0</v>
      </c>
      <c r="L299">
        <v>9000</v>
      </c>
      <c r="M299" s="7">
        <v>9000</v>
      </c>
      <c r="N299" s="19">
        <f t="shared" si="18"/>
        <v>50400</v>
      </c>
      <c r="O299" t="str">
        <f t="shared" si="19"/>
        <v>Normal</v>
      </c>
      <c r="P299">
        <f>_xlfn.XLOOKUP(E299,Products_Master!B:B,Products_Master!D:D)</f>
        <v>600</v>
      </c>
    </row>
    <row r="300" spans="1:16" x14ac:dyDescent="0.35">
      <c r="A300" t="s">
        <v>332</v>
      </c>
      <c r="B300" s="5">
        <v>45597</v>
      </c>
      <c r="C300" s="2" t="str">
        <f t="shared" si="16"/>
        <v>November</v>
      </c>
      <c r="D300" s="2" t="str">
        <f t="shared" si="17"/>
        <v>2024</v>
      </c>
      <c r="E300" t="s">
        <v>31</v>
      </c>
      <c r="F300" t="s">
        <v>18</v>
      </c>
      <c r="G300" t="s">
        <v>14</v>
      </c>
      <c r="H300" t="s">
        <v>34</v>
      </c>
      <c r="I300">
        <v>3</v>
      </c>
      <c r="J300">
        <v>8000</v>
      </c>
      <c r="K300">
        <v>15</v>
      </c>
      <c r="L300">
        <v>24000</v>
      </c>
      <c r="M300" s="7">
        <v>20400</v>
      </c>
      <c r="N300" s="19">
        <f t="shared" si="18"/>
        <v>16200</v>
      </c>
      <c r="O300" t="str">
        <f t="shared" si="19"/>
        <v>Normal</v>
      </c>
      <c r="P300">
        <f>_xlfn.XLOOKUP(E300,Products_Master!B:B,Products_Master!D:D)</f>
        <v>15000</v>
      </c>
    </row>
    <row r="301" spans="1:16" x14ac:dyDescent="0.35">
      <c r="A301" t="s">
        <v>333</v>
      </c>
      <c r="B301" s="5">
        <v>45597</v>
      </c>
      <c r="C301" s="2" t="str">
        <f t="shared" si="16"/>
        <v>November</v>
      </c>
      <c r="D301" s="2" t="str">
        <f t="shared" si="17"/>
        <v>2024</v>
      </c>
      <c r="E301" t="s">
        <v>54</v>
      </c>
      <c r="F301" t="s">
        <v>18</v>
      </c>
      <c r="G301" t="s">
        <v>37</v>
      </c>
      <c r="H301" t="s">
        <v>40</v>
      </c>
      <c r="I301">
        <v>3</v>
      </c>
      <c r="J301">
        <v>1500</v>
      </c>
      <c r="K301">
        <v>10</v>
      </c>
      <c r="L301">
        <v>4500</v>
      </c>
      <c r="M301" s="7">
        <v>4050</v>
      </c>
      <c r="N301" s="19">
        <f t="shared" si="18"/>
        <v>-197850</v>
      </c>
      <c r="O301" t="str">
        <f t="shared" si="19"/>
        <v>Normal</v>
      </c>
      <c r="P301">
        <f>_xlfn.XLOOKUP(E301,Products_Master!B:B,Products_Master!D:D)</f>
        <v>70000</v>
      </c>
    </row>
    <row r="302" spans="1:16" x14ac:dyDescent="0.35">
      <c r="A302" t="s">
        <v>334</v>
      </c>
      <c r="B302" s="5">
        <v>45598</v>
      </c>
      <c r="C302" s="2" t="str">
        <f t="shared" si="16"/>
        <v>November</v>
      </c>
      <c r="D302" s="2" t="str">
        <f t="shared" si="17"/>
        <v>2024</v>
      </c>
      <c r="E302" t="s">
        <v>27</v>
      </c>
      <c r="F302" t="s">
        <v>18</v>
      </c>
      <c r="G302" t="s">
        <v>21</v>
      </c>
      <c r="H302" t="s">
        <v>49</v>
      </c>
      <c r="I302">
        <v>8</v>
      </c>
      <c r="J302">
        <v>120000</v>
      </c>
      <c r="K302">
        <v>0</v>
      </c>
      <c r="L302">
        <v>960000</v>
      </c>
      <c r="M302" s="7">
        <v>960000</v>
      </c>
      <c r="N302" s="19">
        <f t="shared" si="18"/>
        <v>7672800</v>
      </c>
      <c r="O302" t="str">
        <f t="shared" si="19"/>
        <v>Normal</v>
      </c>
      <c r="P302">
        <f>_xlfn.XLOOKUP(E302,Products_Master!B:B,Products_Master!D:D)</f>
        <v>900</v>
      </c>
    </row>
    <row r="303" spans="1:16" x14ac:dyDescent="0.35">
      <c r="A303" t="s">
        <v>335</v>
      </c>
      <c r="B303" s="5">
        <v>45599</v>
      </c>
      <c r="C303" s="2" t="str">
        <f t="shared" si="16"/>
        <v>November</v>
      </c>
      <c r="D303" s="2" t="str">
        <f t="shared" si="17"/>
        <v>2024</v>
      </c>
      <c r="E303" t="s">
        <v>23</v>
      </c>
      <c r="F303" t="s">
        <v>13</v>
      </c>
      <c r="G303" t="s">
        <v>14</v>
      </c>
      <c r="H303" t="s">
        <v>40</v>
      </c>
      <c r="I303">
        <v>9</v>
      </c>
      <c r="J303">
        <v>15000</v>
      </c>
      <c r="K303">
        <v>0</v>
      </c>
      <c r="L303">
        <v>135000</v>
      </c>
      <c r="M303" s="7">
        <v>135000</v>
      </c>
      <c r="N303" s="19">
        <f t="shared" si="18"/>
        <v>1053000</v>
      </c>
      <c r="O303" t="str">
        <f t="shared" si="19"/>
        <v>Normal</v>
      </c>
      <c r="P303">
        <f>_xlfn.XLOOKUP(E303,Products_Master!B:B,Products_Master!D:D)</f>
        <v>18000</v>
      </c>
    </row>
    <row r="304" spans="1:16" x14ac:dyDescent="0.35">
      <c r="A304" t="s">
        <v>336</v>
      </c>
      <c r="B304" s="5">
        <v>45599</v>
      </c>
      <c r="C304" s="2" t="str">
        <f t="shared" si="16"/>
        <v>November</v>
      </c>
      <c r="D304" s="2" t="str">
        <f t="shared" si="17"/>
        <v>2024</v>
      </c>
      <c r="E304" t="s">
        <v>36</v>
      </c>
      <c r="F304" t="s">
        <v>13</v>
      </c>
      <c r="G304" t="s">
        <v>19</v>
      </c>
      <c r="H304" t="s">
        <v>49</v>
      </c>
      <c r="I304">
        <v>6</v>
      </c>
      <c r="J304">
        <v>8000</v>
      </c>
      <c r="K304">
        <v>5</v>
      </c>
      <c r="L304">
        <v>48000</v>
      </c>
      <c r="M304" s="7">
        <v>45600</v>
      </c>
      <c r="N304" s="19">
        <f t="shared" si="18"/>
        <v>268800</v>
      </c>
      <c r="O304" t="str">
        <f t="shared" si="19"/>
        <v>Normal</v>
      </c>
      <c r="P304">
        <f>_xlfn.XLOOKUP(E304,Products_Master!B:B,Products_Master!D:D)</f>
        <v>800</v>
      </c>
    </row>
    <row r="305" spans="1:16" x14ac:dyDescent="0.35">
      <c r="A305" t="s">
        <v>337</v>
      </c>
      <c r="B305" s="5">
        <v>45600</v>
      </c>
      <c r="C305" s="2" t="str">
        <f t="shared" si="16"/>
        <v>November</v>
      </c>
      <c r="D305" s="2" t="str">
        <f t="shared" si="17"/>
        <v>2024</v>
      </c>
      <c r="E305" t="s">
        <v>54</v>
      </c>
      <c r="F305" t="s">
        <v>13</v>
      </c>
      <c r="G305" t="s">
        <v>19</v>
      </c>
      <c r="H305" t="s">
        <v>40</v>
      </c>
      <c r="I305">
        <v>9</v>
      </c>
      <c r="J305">
        <v>8000</v>
      </c>
      <c r="K305">
        <v>0</v>
      </c>
      <c r="L305">
        <v>72000</v>
      </c>
      <c r="M305" s="7">
        <v>72000</v>
      </c>
      <c r="N305" s="19">
        <f t="shared" si="18"/>
        <v>18000</v>
      </c>
      <c r="O305" t="str">
        <f t="shared" si="19"/>
        <v>Normal</v>
      </c>
      <c r="P305">
        <f>_xlfn.XLOOKUP(E305,Products_Master!B:B,Products_Master!D:D)</f>
        <v>70000</v>
      </c>
    </row>
    <row r="306" spans="1:16" x14ac:dyDescent="0.35">
      <c r="A306" t="s">
        <v>338</v>
      </c>
      <c r="B306" s="5">
        <v>45601</v>
      </c>
      <c r="C306" s="2" t="str">
        <f t="shared" si="16"/>
        <v>November</v>
      </c>
      <c r="D306" s="2" t="str">
        <f t="shared" si="17"/>
        <v>2024</v>
      </c>
      <c r="E306" t="s">
        <v>17</v>
      </c>
      <c r="F306" t="s">
        <v>13</v>
      </c>
      <c r="G306" t="s">
        <v>24</v>
      </c>
      <c r="H306" t="s">
        <v>25</v>
      </c>
      <c r="I306">
        <v>9</v>
      </c>
      <c r="J306">
        <v>15000</v>
      </c>
      <c r="K306">
        <v>0</v>
      </c>
      <c r="L306">
        <v>135000</v>
      </c>
      <c r="M306" s="7">
        <v>135000</v>
      </c>
      <c r="N306" s="19">
        <f t="shared" si="18"/>
        <v>1197000</v>
      </c>
      <c r="O306" t="str">
        <f t="shared" si="19"/>
        <v>Normal</v>
      </c>
      <c r="P306">
        <f>_xlfn.XLOOKUP(E306,Products_Master!B:B,Products_Master!D:D)</f>
        <v>2000</v>
      </c>
    </row>
    <row r="307" spans="1:16" x14ac:dyDescent="0.35">
      <c r="A307" t="s">
        <v>339</v>
      </c>
      <c r="B307" s="5">
        <v>45603</v>
      </c>
      <c r="C307" s="2" t="str">
        <f t="shared" si="16"/>
        <v>November</v>
      </c>
      <c r="D307" s="2" t="str">
        <f t="shared" si="17"/>
        <v>2024</v>
      </c>
      <c r="E307" t="s">
        <v>42</v>
      </c>
      <c r="F307" t="s">
        <v>18</v>
      </c>
      <c r="G307" t="s">
        <v>37</v>
      </c>
      <c r="H307" t="s">
        <v>40</v>
      </c>
      <c r="I307">
        <v>1</v>
      </c>
      <c r="J307">
        <v>8000</v>
      </c>
      <c r="K307">
        <v>5</v>
      </c>
      <c r="L307">
        <v>8000</v>
      </c>
      <c r="M307" s="7">
        <v>7600</v>
      </c>
      <c r="N307" s="19">
        <f t="shared" si="18"/>
        <v>7000</v>
      </c>
      <c r="O307" t="str">
        <f t="shared" si="19"/>
        <v>Normal</v>
      </c>
      <c r="P307">
        <f>_xlfn.XLOOKUP(E307,Products_Master!B:B,Products_Master!D:D)</f>
        <v>600</v>
      </c>
    </row>
    <row r="308" spans="1:16" x14ac:dyDescent="0.35">
      <c r="A308" t="s">
        <v>340</v>
      </c>
      <c r="B308" s="5">
        <v>45604</v>
      </c>
      <c r="C308" s="2" t="str">
        <f t="shared" si="16"/>
        <v>November</v>
      </c>
      <c r="D308" s="2" t="str">
        <f t="shared" si="17"/>
        <v>2024</v>
      </c>
      <c r="E308" t="s">
        <v>17</v>
      </c>
      <c r="F308" t="s">
        <v>13</v>
      </c>
      <c r="G308" t="s">
        <v>39</v>
      </c>
      <c r="H308" t="s">
        <v>32</v>
      </c>
      <c r="I308">
        <v>6</v>
      </c>
      <c r="J308">
        <v>2500</v>
      </c>
      <c r="K308">
        <v>15</v>
      </c>
      <c r="L308">
        <v>15000</v>
      </c>
      <c r="M308" s="7">
        <v>12750</v>
      </c>
      <c r="N308" s="19">
        <f t="shared" si="18"/>
        <v>64500</v>
      </c>
      <c r="O308" t="str">
        <f t="shared" si="19"/>
        <v>Normal</v>
      </c>
      <c r="P308">
        <f>_xlfn.XLOOKUP(E308,Products_Master!B:B,Products_Master!D:D)</f>
        <v>2000</v>
      </c>
    </row>
    <row r="309" spans="1:16" x14ac:dyDescent="0.35">
      <c r="A309" t="s">
        <v>341</v>
      </c>
      <c r="B309" s="5">
        <v>45606</v>
      </c>
      <c r="C309" s="2" t="str">
        <f t="shared" si="16"/>
        <v>November</v>
      </c>
      <c r="D309" s="2" t="str">
        <f t="shared" si="17"/>
        <v>2024</v>
      </c>
      <c r="E309" t="s">
        <v>54</v>
      </c>
      <c r="F309" t="s">
        <v>13</v>
      </c>
      <c r="G309" t="s">
        <v>39</v>
      </c>
      <c r="H309" t="s">
        <v>34</v>
      </c>
      <c r="I309">
        <v>5</v>
      </c>
      <c r="J309">
        <v>2500</v>
      </c>
      <c r="K309">
        <v>0</v>
      </c>
      <c r="L309">
        <v>12500</v>
      </c>
      <c r="M309" s="7">
        <v>12500</v>
      </c>
      <c r="N309" s="19">
        <f t="shared" si="18"/>
        <v>-287500</v>
      </c>
      <c r="O309" t="str">
        <f t="shared" si="19"/>
        <v>Normal</v>
      </c>
      <c r="P309">
        <f>_xlfn.XLOOKUP(E309,Products_Master!B:B,Products_Master!D:D)</f>
        <v>70000</v>
      </c>
    </row>
    <row r="310" spans="1:16" x14ac:dyDescent="0.35">
      <c r="A310" t="s">
        <v>342</v>
      </c>
      <c r="B310" s="5">
        <v>45607</v>
      </c>
      <c r="C310" s="2" t="str">
        <f t="shared" si="16"/>
        <v>November</v>
      </c>
      <c r="D310" s="2" t="str">
        <f t="shared" si="17"/>
        <v>2024</v>
      </c>
      <c r="E310" t="s">
        <v>36</v>
      </c>
      <c r="F310" t="s">
        <v>18</v>
      </c>
      <c r="G310" t="s">
        <v>24</v>
      </c>
      <c r="H310" t="s">
        <v>29</v>
      </c>
      <c r="I310">
        <v>6</v>
      </c>
      <c r="J310">
        <v>120000</v>
      </c>
      <c r="K310">
        <v>0</v>
      </c>
      <c r="L310">
        <v>720000</v>
      </c>
      <c r="M310" s="7">
        <v>720000</v>
      </c>
      <c r="N310" s="19">
        <f t="shared" si="18"/>
        <v>4315200</v>
      </c>
      <c r="O310" t="str">
        <f t="shared" si="19"/>
        <v>Normal</v>
      </c>
      <c r="P310">
        <f>_xlfn.XLOOKUP(E310,Products_Master!B:B,Products_Master!D:D)</f>
        <v>800</v>
      </c>
    </row>
    <row r="311" spans="1:16" x14ac:dyDescent="0.35">
      <c r="A311" t="s">
        <v>343</v>
      </c>
      <c r="B311" s="5">
        <v>45608</v>
      </c>
      <c r="C311" s="2" t="str">
        <f t="shared" si="16"/>
        <v>November</v>
      </c>
      <c r="D311" s="2" t="str">
        <f t="shared" si="17"/>
        <v>2024</v>
      </c>
      <c r="E311" t="s">
        <v>31</v>
      </c>
      <c r="F311" t="s">
        <v>13</v>
      </c>
      <c r="G311" t="s">
        <v>21</v>
      </c>
      <c r="H311" t="s">
        <v>29</v>
      </c>
      <c r="I311">
        <v>9</v>
      </c>
      <c r="J311">
        <v>45000</v>
      </c>
      <c r="K311">
        <v>5</v>
      </c>
      <c r="L311">
        <v>405000</v>
      </c>
      <c r="M311" s="7">
        <v>384750</v>
      </c>
      <c r="N311" s="19">
        <f t="shared" si="18"/>
        <v>3327750</v>
      </c>
      <c r="O311" t="str">
        <f t="shared" si="19"/>
        <v>Normal</v>
      </c>
      <c r="P311">
        <f>_xlfn.XLOOKUP(E311,Products_Master!B:B,Products_Master!D:D)</f>
        <v>15000</v>
      </c>
    </row>
    <row r="312" spans="1:16" x14ac:dyDescent="0.35">
      <c r="A312" t="s">
        <v>344</v>
      </c>
      <c r="B312" s="5">
        <v>45609</v>
      </c>
      <c r="C312" s="2" t="str">
        <f t="shared" si="16"/>
        <v>November</v>
      </c>
      <c r="D312" s="2" t="str">
        <f t="shared" si="17"/>
        <v>2024</v>
      </c>
      <c r="E312" t="s">
        <v>31</v>
      </c>
      <c r="F312" t="s">
        <v>13</v>
      </c>
      <c r="G312" t="s">
        <v>37</v>
      </c>
      <c r="H312" t="s">
        <v>15</v>
      </c>
      <c r="I312">
        <v>2</v>
      </c>
      <c r="J312">
        <v>8000</v>
      </c>
      <c r="K312">
        <v>0</v>
      </c>
      <c r="L312">
        <v>16000</v>
      </c>
      <c r="M312" s="7">
        <v>16000</v>
      </c>
      <c r="N312" s="19">
        <f t="shared" si="18"/>
        <v>2000</v>
      </c>
      <c r="O312" t="str">
        <f t="shared" si="19"/>
        <v>Normal</v>
      </c>
      <c r="P312">
        <f>_xlfn.XLOOKUP(E312,Products_Master!B:B,Products_Master!D:D)</f>
        <v>15000</v>
      </c>
    </row>
    <row r="313" spans="1:16" x14ac:dyDescent="0.35">
      <c r="A313" t="s">
        <v>345</v>
      </c>
      <c r="B313" s="5">
        <v>45611</v>
      </c>
      <c r="C313" s="2" t="str">
        <f t="shared" si="16"/>
        <v>November</v>
      </c>
      <c r="D313" s="2" t="str">
        <f t="shared" si="17"/>
        <v>2024</v>
      </c>
      <c r="E313" t="s">
        <v>31</v>
      </c>
      <c r="F313" t="s">
        <v>13</v>
      </c>
      <c r="G313" t="s">
        <v>39</v>
      </c>
      <c r="H313" t="s">
        <v>40</v>
      </c>
      <c r="I313">
        <v>9</v>
      </c>
      <c r="J313">
        <v>45000</v>
      </c>
      <c r="K313">
        <v>0</v>
      </c>
      <c r="L313">
        <v>405000</v>
      </c>
      <c r="M313" s="7">
        <v>405000</v>
      </c>
      <c r="N313" s="19">
        <f t="shared" si="18"/>
        <v>3510000</v>
      </c>
      <c r="O313" t="str">
        <f t="shared" si="19"/>
        <v>Normal</v>
      </c>
      <c r="P313">
        <f>_xlfn.XLOOKUP(E313,Products_Master!B:B,Products_Master!D:D)</f>
        <v>15000</v>
      </c>
    </row>
    <row r="314" spans="1:16" x14ac:dyDescent="0.35">
      <c r="A314" t="s">
        <v>346</v>
      </c>
      <c r="B314" s="5">
        <v>45613</v>
      </c>
      <c r="C314" s="2" t="str">
        <f t="shared" si="16"/>
        <v>November</v>
      </c>
      <c r="D314" s="2" t="str">
        <f t="shared" si="17"/>
        <v>2024</v>
      </c>
      <c r="E314" t="s">
        <v>31</v>
      </c>
      <c r="F314" t="s">
        <v>13</v>
      </c>
      <c r="G314" t="s">
        <v>24</v>
      </c>
      <c r="H314" t="s">
        <v>29</v>
      </c>
      <c r="I314">
        <v>8</v>
      </c>
      <c r="J314">
        <v>2500</v>
      </c>
      <c r="K314">
        <v>0</v>
      </c>
      <c r="L314">
        <v>20000</v>
      </c>
      <c r="M314" s="7">
        <v>20000</v>
      </c>
      <c r="N314" s="19">
        <f t="shared" si="18"/>
        <v>40000</v>
      </c>
      <c r="O314" t="str">
        <f t="shared" si="19"/>
        <v>Normal</v>
      </c>
      <c r="P314">
        <f>_xlfn.XLOOKUP(E314,Products_Master!B:B,Products_Master!D:D)</f>
        <v>15000</v>
      </c>
    </row>
    <row r="315" spans="1:16" x14ac:dyDescent="0.35">
      <c r="A315" t="s">
        <v>347</v>
      </c>
      <c r="B315" s="5">
        <v>45613</v>
      </c>
      <c r="C315" s="2" t="str">
        <f t="shared" si="16"/>
        <v>November</v>
      </c>
      <c r="D315" s="2" t="str">
        <f t="shared" si="17"/>
        <v>2024</v>
      </c>
      <c r="E315" t="s">
        <v>54</v>
      </c>
      <c r="F315" t="s">
        <v>13</v>
      </c>
      <c r="G315" t="s">
        <v>39</v>
      </c>
      <c r="H315" t="s">
        <v>34</v>
      </c>
      <c r="I315">
        <v>9</v>
      </c>
      <c r="J315">
        <v>120000</v>
      </c>
      <c r="K315">
        <v>10</v>
      </c>
      <c r="L315">
        <v>1080000</v>
      </c>
      <c r="M315" s="7">
        <v>972000</v>
      </c>
      <c r="N315" s="19">
        <f t="shared" si="18"/>
        <v>8118000</v>
      </c>
      <c r="O315" t="str">
        <f t="shared" si="19"/>
        <v>Normal</v>
      </c>
      <c r="P315">
        <f>_xlfn.XLOOKUP(E315,Products_Master!B:B,Products_Master!D:D)</f>
        <v>70000</v>
      </c>
    </row>
    <row r="316" spans="1:16" x14ac:dyDescent="0.35">
      <c r="A316" t="s">
        <v>348</v>
      </c>
      <c r="B316" s="5">
        <v>45613</v>
      </c>
      <c r="C316" s="2" t="str">
        <f t="shared" si="16"/>
        <v>November</v>
      </c>
      <c r="D316" s="2" t="str">
        <f t="shared" si="17"/>
        <v>2024</v>
      </c>
      <c r="E316" t="s">
        <v>17</v>
      </c>
      <c r="F316" t="s">
        <v>18</v>
      </c>
      <c r="G316" t="s">
        <v>37</v>
      </c>
      <c r="H316" t="s">
        <v>15</v>
      </c>
      <c r="I316">
        <v>5</v>
      </c>
      <c r="J316">
        <v>15000</v>
      </c>
      <c r="K316">
        <v>0</v>
      </c>
      <c r="L316">
        <v>75000</v>
      </c>
      <c r="M316" s="7">
        <v>75000</v>
      </c>
      <c r="N316" s="19">
        <f t="shared" si="18"/>
        <v>365000</v>
      </c>
      <c r="O316" t="str">
        <f t="shared" si="19"/>
        <v>Normal</v>
      </c>
      <c r="P316">
        <f>_xlfn.XLOOKUP(E316,Products_Master!B:B,Products_Master!D:D)</f>
        <v>2000</v>
      </c>
    </row>
    <row r="317" spans="1:16" x14ac:dyDescent="0.35">
      <c r="A317" t="s">
        <v>349</v>
      </c>
      <c r="B317" s="5">
        <v>45613</v>
      </c>
      <c r="C317" s="2" t="str">
        <f t="shared" si="16"/>
        <v>November</v>
      </c>
      <c r="D317" s="2" t="str">
        <f t="shared" si="17"/>
        <v>2024</v>
      </c>
      <c r="E317" t="s">
        <v>42</v>
      </c>
      <c r="F317" t="s">
        <v>13</v>
      </c>
      <c r="G317" t="s">
        <v>14</v>
      </c>
      <c r="H317" t="s">
        <v>29</v>
      </c>
      <c r="I317">
        <v>2</v>
      </c>
      <c r="J317">
        <v>2500</v>
      </c>
      <c r="K317">
        <v>0</v>
      </c>
      <c r="L317">
        <v>5000</v>
      </c>
      <c r="M317" s="7">
        <v>5000</v>
      </c>
      <c r="N317" s="19">
        <f t="shared" si="18"/>
        <v>8800</v>
      </c>
      <c r="O317" t="str">
        <f t="shared" si="19"/>
        <v>Normal</v>
      </c>
      <c r="P317">
        <f>_xlfn.XLOOKUP(E317,Products_Master!B:B,Products_Master!D:D)</f>
        <v>600</v>
      </c>
    </row>
    <row r="318" spans="1:16" x14ac:dyDescent="0.35">
      <c r="A318" t="s">
        <v>350</v>
      </c>
      <c r="B318" s="5">
        <v>45614</v>
      </c>
      <c r="C318" s="2" t="str">
        <f t="shared" si="16"/>
        <v>November</v>
      </c>
      <c r="D318" s="2" t="str">
        <f t="shared" si="17"/>
        <v>2024</v>
      </c>
      <c r="E318" t="s">
        <v>17</v>
      </c>
      <c r="F318" t="s">
        <v>18</v>
      </c>
      <c r="G318" t="s">
        <v>19</v>
      </c>
      <c r="H318" t="s">
        <v>49</v>
      </c>
      <c r="I318">
        <v>4</v>
      </c>
      <c r="J318">
        <v>85000</v>
      </c>
      <c r="K318">
        <v>5</v>
      </c>
      <c r="L318">
        <v>340000</v>
      </c>
      <c r="M318" s="7">
        <v>323000</v>
      </c>
      <c r="N318" s="19">
        <f t="shared" si="18"/>
        <v>1284000</v>
      </c>
      <c r="O318" t="str">
        <f t="shared" si="19"/>
        <v>Normal</v>
      </c>
      <c r="P318">
        <f>_xlfn.XLOOKUP(E318,Products_Master!B:B,Products_Master!D:D)</f>
        <v>2000</v>
      </c>
    </row>
    <row r="319" spans="1:16" x14ac:dyDescent="0.35">
      <c r="A319" t="s">
        <v>351</v>
      </c>
      <c r="B319" s="5">
        <v>45615</v>
      </c>
      <c r="C319" s="2" t="str">
        <f t="shared" si="16"/>
        <v>November</v>
      </c>
      <c r="D319" s="2" t="str">
        <f t="shared" si="17"/>
        <v>2024</v>
      </c>
      <c r="E319" t="s">
        <v>54</v>
      </c>
      <c r="F319" t="s">
        <v>13</v>
      </c>
      <c r="G319" t="s">
        <v>37</v>
      </c>
      <c r="H319" t="s">
        <v>29</v>
      </c>
      <c r="I319">
        <v>9</v>
      </c>
      <c r="J319">
        <v>8000</v>
      </c>
      <c r="K319">
        <v>0</v>
      </c>
      <c r="L319">
        <v>72000</v>
      </c>
      <c r="M319" s="7">
        <v>72000</v>
      </c>
      <c r="N319" s="19">
        <f t="shared" si="18"/>
        <v>18000</v>
      </c>
      <c r="O319" t="str">
        <f t="shared" si="19"/>
        <v>Normal</v>
      </c>
      <c r="P319">
        <f>_xlfn.XLOOKUP(E319,Products_Master!B:B,Products_Master!D:D)</f>
        <v>70000</v>
      </c>
    </row>
    <row r="320" spans="1:16" x14ac:dyDescent="0.35">
      <c r="A320" t="s">
        <v>352</v>
      </c>
      <c r="B320" s="5">
        <v>45615</v>
      </c>
      <c r="C320" s="2" t="str">
        <f t="shared" si="16"/>
        <v>November</v>
      </c>
      <c r="D320" s="2" t="str">
        <f t="shared" si="17"/>
        <v>2024</v>
      </c>
      <c r="E320" t="s">
        <v>54</v>
      </c>
      <c r="F320" t="s">
        <v>18</v>
      </c>
      <c r="G320" t="s">
        <v>39</v>
      </c>
      <c r="H320" t="s">
        <v>25</v>
      </c>
      <c r="I320">
        <v>9</v>
      </c>
      <c r="J320">
        <v>8000</v>
      </c>
      <c r="K320">
        <v>15</v>
      </c>
      <c r="L320">
        <v>72000</v>
      </c>
      <c r="M320" s="7">
        <v>61200</v>
      </c>
      <c r="N320" s="19">
        <f t="shared" si="18"/>
        <v>-79200</v>
      </c>
      <c r="O320" t="str">
        <f t="shared" si="19"/>
        <v>Normal</v>
      </c>
      <c r="P320">
        <f>_xlfn.XLOOKUP(E320,Products_Master!B:B,Products_Master!D:D)</f>
        <v>70000</v>
      </c>
    </row>
    <row r="321" spans="1:16" x14ac:dyDescent="0.35">
      <c r="A321" t="s">
        <v>353</v>
      </c>
      <c r="B321" s="5">
        <v>45615</v>
      </c>
      <c r="C321" s="2" t="str">
        <f t="shared" si="16"/>
        <v>November</v>
      </c>
      <c r="D321" s="2" t="str">
        <f t="shared" si="17"/>
        <v>2024</v>
      </c>
      <c r="E321" t="s">
        <v>23</v>
      </c>
      <c r="F321" t="s">
        <v>13</v>
      </c>
      <c r="G321" t="s">
        <v>21</v>
      </c>
      <c r="H321" t="s">
        <v>40</v>
      </c>
      <c r="I321">
        <v>3</v>
      </c>
      <c r="J321">
        <v>45000</v>
      </c>
      <c r="K321">
        <v>10</v>
      </c>
      <c r="L321">
        <v>135000</v>
      </c>
      <c r="M321" s="7">
        <v>121500</v>
      </c>
      <c r="N321" s="19">
        <f t="shared" si="18"/>
        <v>310500</v>
      </c>
      <c r="O321" t="str">
        <f t="shared" si="19"/>
        <v>Normal</v>
      </c>
      <c r="P321">
        <f>_xlfn.XLOOKUP(E321,Products_Master!B:B,Products_Master!D:D)</f>
        <v>18000</v>
      </c>
    </row>
    <row r="322" spans="1:16" x14ac:dyDescent="0.35">
      <c r="A322" t="s">
        <v>354</v>
      </c>
      <c r="B322" s="5">
        <v>45616</v>
      </c>
      <c r="C322" s="2" t="str">
        <f t="shared" si="16"/>
        <v>November</v>
      </c>
      <c r="D322" s="2" t="str">
        <f t="shared" si="17"/>
        <v>2024</v>
      </c>
      <c r="E322" t="s">
        <v>36</v>
      </c>
      <c r="F322" t="s">
        <v>13</v>
      </c>
      <c r="G322" t="s">
        <v>14</v>
      </c>
      <c r="H322" t="s">
        <v>49</v>
      </c>
      <c r="I322">
        <v>4</v>
      </c>
      <c r="J322">
        <v>2500</v>
      </c>
      <c r="K322">
        <v>0</v>
      </c>
      <c r="L322">
        <v>10000</v>
      </c>
      <c r="M322" s="7">
        <v>10000</v>
      </c>
      <c r="N322" s="19">
        <f t="shared" si="18"/>
        <v>36800</v>
      </c>
      <c r="O322" t="str">
        <f t="shared" si="19"/>
        <v>Normal</v>
      </c>
      <c r="P322">
        <f>_xlfn.XLOOKUP(E322,Products_Master!B:B,Products_Master!D:D)</f>
        <v>800</v>
      </c>
    </row>
    <row r="323" spans="1:16" x14ac:dyDescent="0.35">
      <c r="A323" t="s">
        <v>355</v>
      </c>
      <c r="B323" s="5">
        <v>45619</v>
      </c>
      <c r="C323" s="2" t="str">
        <f t="shared" ref="C323:C386" si="20">TEXT(B323,"MMMM")</f>
        <v>November</v>
      </c>
      <c r="D323" s="2" t="str">
        <f t="shared" ref="D323:D386" si="21">TEXT(B323,"yyy")</f>
        <v>2024</v>
      </c>
      <c r="E323" t="s">
        <v>31</v>
      </c>
      <c r="F323" t="s">
        <v>18</v>
      </c>
      <c r="G323" t="s">
        <v>19</v>
      </c>
      <c r="H323" t="s">
        <v>34</v>
      </c>
      <c r="I323">
        <v>1</v>
      </c>
      <c r="J323">
        <v>8000</v>
      </c>
      <c r="K323">
        <v>0</v>
      </c>
      <c r="L323">
        <v>8000</v>
      </c>
      <c r="M323" s="7">
        <v>8000</v>
      </c>
      <c r="N323" s="19">
        <f t="shared" ref="N323:N386" si="22">(M323-P323)*I323</f>
        <v>-7000</v>
      </c>
      <c r="O323" t="str">
        <f t="shared" ref="O323:O386" si="23">IF(K323=15%,"Very High ",IF(K323=10%,"High Discount","Normal"))</f>
        <v>Normal</v>
      </c>
      <c r="P323">
        <f>_xlfn.XLOOKUP(E323,Products_Master!B:B,Products_Master!D:D)</f>
        <v>15000</v>
      </c>
    </row>
    <row r="324" spans="1:16" x14ac:dyDescent="0.35">
      <c r="A324" t="s">
        <v>356</v>
      </c>
      <c r="B324" s="5">
        <v>45621</v>
      </c>
      <c r="C324" s="2" t="str">
        <f t="shared" si="20"/>
        <v>November</v>
      </c>
      <c r="D324" s="2" t="str">
        <f t="shared" si="21"/>
        <v>2024</v>
      </c>
      <c r="E324" t="s">
        <v>23</v>
      </c>
      <c r="F324" t="s">
        <v>13</v>
      </c>
      <c r="G324" t="s">
        <v>37</v>
      </c>
      <c r="H324" t="s">
        <v>32</v>
      </c>
      <c r="I324">
        <v>9</v>
      </c>
      <c r="J324">
        <v>15000</v>
      </c>
      <c r="K324">
        <v>5</v>
      </c>
      <c r="L324">
        <v>135000</v>
      </c>
      <c r="M324" s="7">
        <v>128250</v>
      </c>
      <c r="N324" s="19">
        <f t="shared" si="22"/>
        <v>992250</v>
      </c>
      <c r="O324" t="str">
        <f t="shared" si="23"/>
        <v>Normal</v>
      </c>
      <c r="P324">
        <f>_xlfn.XLOOKUP(E324,Products_Master!B:B,Products_Master!D:D)</f>
        <v>18000</v>
      </c>
    </row>
    <row r="325" spans="1:16" x14ac:dyDescent="0.35">
      <c r="A325" t="s">
        <v>357</v>
      </c>
      <c r="B325" s="5">
        <v>45623</v>
      </c>
      <c r="C325" s="2" t="str">
        <f t="shared" si="20"/>
        <v>November</v>
      </c>
      <c r="D325" s="2" t="str">
        <f t="shared" si="21"/>
        <v>2024</v>
      </c>
      <c r="E325" t="s">
        <v>54</v>
      </c>
      <c r="F325" t="s">
        <v>18</v>
      </c>
      <c r="G325" t="s">
        <v>39</v>
      </c>
      <c r="H325" t="s">
        <v>49</v>
      </c>
      <c r="I325">
        <v>8</v>
      </c>
      <c r="J325">
        <v>85000</v>
      </c>
      <c r="K325">
        <v>0</v>
      </c>
      <c r="L325">
        <v>680000</v>
      </c>
      <c r="M325" s="7">
        <v>680000</v>
      </c>
      <c r="N325" s="19">
        <f t="shared" si="22"/>
        <v>4880000</v>
      </c>
      <c r="O325" t="str">
        <f t="shared" si="23"/>
        <v>Normal</v>
      </c>
      <c r="P325">
        <f>_xlfn.XLOOKUP(E325,Products_Master!B:B,Products_Master!D:D)</f>
        <v>70000</v>
      </c>
    </row>
    <row r="326" spans="1:16" x14ac:dyDescent="0.35">
      <c r="A326" t="s">
        <v>358</v>
      </c>
      <c r="B326" s="5">
        <v>45624</v>
      </c>
      <c r="C326" s="2" t="str">
        <f t="shared" si="20"/>
        <v>November</v>
      </c>
      <c r="D326" s="2" t="str">
        <f t="shared" si="21"/>
        <v>2024</v>
      </c>
      <c r="E326" t="s">
        <v>17</v>
      </c>
      <c r="F326" t="s">
        <v>13</v>
      </c>
      <c r="G326" t="s">
        <v>14</v>
      </c>
      <c r="H326" t="s">
        <v>29</v>
      </c>
      <c r="I326">
        <v>3</v>
      </c>
      <c r="J326">
        <v>2500</v>
      </c>
      <c r="K326">
        <v>0</v>
      </c>
      <c r="L326">
        <v>7500</v>
      </c>
      <c r="M326" s="7">
        <v>7500</v>
      </c>
      <c r="N326" s="19">
        <f t="shared" si="22"/>
        <v>16500</v>
      </c>
      <c r="O326" t="str">
        <f t="shared" si="23"/>
        <v>Normal</v>
      </c>
      <c r="P326">
        <f>_xlfn.XLOOKUP(E326,Products_Master!B:B,Products_Master!D:D)</f>
        <v>2000</v>
      </c>
    </row>
    <row r="327" spans="1:16" x14ac:dyDescent="0.35">
      <c r="A327" t="s">
        <v>359</v>
      </c>
      <c r="B327" s="5">
        <v>45626</v>
      </c>
      <c r="C327" s="2" t="str">
        <f t="shared" si="20"/>
        <v>November</v>
      </c>
      <c r="D327" s="2" t="str">
        <f t="shared" si="21"/>
        <v>2024</v>
      </c>
      <c r="E327" t="s">
        <v>17</v>
      </c>
      <c r="F327" t="s">
        <v>18</v>
      </c>
      <c r="G327" t="s">
        <v>39</v>
      </c>
      <c r="H327" t="s">
        <v>15</v>
      </c>
      <c r="I327">
        <v>2</v>
      </c>
      <c r="J327">
        <v>45000</v>
      </c>
      <c r="K327">
        <v>0</v>
      </c>
      <c r="L327">
        <v>90000</v>
      </c>
      <c r="M327" s="7">
        <v>90000</v>
      </c>
      <c r="N327" s="19">
        <f t="shared" si="22"/>
        <v>176000</v>
      </c>
      <c r="O327" t="str">
        <f t="shared" si="23"/>
        <v>Normal</v>
      </c>
      <c r="P327">
        <f>_xlfn.XLOOKUP(E327,Products_Master!B:B,Products_Master!D:D)</f>
        <v>2000</v>
      </c>
    </row>
    <row r="328" spans="1:16" x14ac:dyDescent="0.35">
      <c r="A328" t="s">
        <v>360</v>
      </c>
      <c r="B328" s="5">
        <v>45628</v>
      </c>
      <c r="C328" s="2" t="str">
        <f t="shared" si="20"/>
        <v>December</v>
      </c>
      <c r="D328" s="2" t="str">
        <f t="shared" si="21"/>
        <v>2024</v>
      </c>
      <c r="E328" t="s">
        <v>12</v>
      </c>
      <c r="F328" t="s">
        <v>13</v>
      </c>
      <c r="G328" t="s">
        <v>39</v>
      </c>
      <c r="H328" t="s">
        <v>29</v>
      </c>
      <c r="I328">
        <v>8</v>
      </c>
      <c r="J328">
        <v>2500</v>
      </c>
      <c r="K328">
        <v>10</v>
      </c>
      <c r="L328">
        <v>20000</v>
      </c>
      <c r="M328" s="7">
        <v>18000</v>
      </c>
      <c r="N328" s="19">
        <f t="shared" si="22"/>
        <v>-136000</v>
      </c>
      <c r="O328" t="str">
        <f t="shared" si="23"/>
        <v>Normal</v>
      </c>
      <c r="P328">
        <f>_xlfn.XLOOKUP(E328,Products_Master!B:B,Products_Master!D:D)</f>
        <v>35000</v>
      </c>
    </row>
    <row r="329" spans="1:16" x14ac:dyDescent="0.35">
      <c r="A329" t="s">
        <v>361</v>
      </c>
      <c r="B329" s="5">
        <v>45630</v>
      </c>
      <c r="C329" s="2" t="str">
        <f t="shared" si="20"/>
        <v>December</v>
      </c>
      <c r="D329" s="2" t="str">
        <f t="shared" si="21"/>
        <v>2024</v>
      </c>
      <c r="E329" t="s">
        <v>54</v>
      </c>
      <c r="F329" t="s">
        <v>18</v>
      </c>
      <c r="G329" t="s">
        <v>14</v>
      </c>
      <c r="H329" t="s">
        <v>49</v>
      </c>
      <c r="I329">
        <v>1</v>
      </c>
      <c r="J329">
        <v>1500</v>
      </c>
      <c r="K329">
        <v>15</v>
      </c>
      <c r="L329">
        <v>1500</v>
      </c>
      <c r="M329" s="7">
        <v>1275</v>
      </c>
      <c r="N329" s="19">
        <f t="shared" si="22"/>
        <v>-68725</v>
      </c>
      <c r="O329" t="str">
        <f t="shared" si="23"/>
        <v>Normal</v>
      </c>
      <c r="P329">
        <f>_xlfn.XLOOKUP(E329,Products_Master!B:B,Products_Master!D:D)</f>
        <v>70000</v>
      </c>
    </row>
    <row r="330" spans="1:16" x14ac:dyDescent="0.35">
      <c r="A330" t="s">
        <v>362</v>
      </c>
      <c r="B330" s="5">
        <v>45630</v>
      </c>
      <c r="C330" s="2" t="str">
        <f t="shared" si="20"/>
        <v>December</v>
      </c>
      <c r="D330" s="2" t="str">
        <f t="shared" si="21"/>
        <v>2024</v>
      </c>
      <c r="E330" t="s">
        <v>23</v>
      </c>
      <c r="F330" t="s">
        <v>18</v>
      </c>
      <c r="G330" t="s">
        <v>37</v>
      </c>
      <c r="H330" t="s">
        <v>25</v>
      </c>
      <c r="I330">
        <v>8</v>
      </c>
      <c r="J330">
        <v>15000</v>
      </c>
      <c r="K330">
        <v>0</v>
      </c>
      <c r="L330">
        <v>120000</v>
      </c>
      <c r="M330" s="7">
        <v>120000</v>
      </c>
      <c r="N330" s="19">
        <f t="shared" si="22"/>
        <v>816000</v>
      </c>
      <c r="O330" t="str">
        <f t="shared" si="23"/>
        <v>Normal</v>
      </c>
      <c r="P330">
        <f>_xlfn.XLOOKUP(E330,Products_Master!B:B,Products_Master!D:D)</f>
        <v>18000</v>
      </c>
    </row>
    <row r="331" spans="1:16" x14ac:dyDescent="0.35">
      <c r="A331" t="s">
        <v>363</v>
      </c>
      <c r="B331" s="5">
        <v>45630</v>
      </c>
      <c r="C331" s="2" t="str">
        <f t="shared" si="20"/>
        <v>December</v>
      </c>
      <c r="D331" s="2" t="str">
        <f t="shared" si="21"/>
        <v>2024</v>
      </c>
      <c r="E331" t="s">
        <v>42</v>
      </c>
      <c r="F331" t="s">
        <v>13</v>
      </c>
      <c r="G331" t="s">
        <v>24</v>
      </c>
      <c r="H331" t="s">
        <v>40</v>
      </c>
      <c r="I331">
        <v>3</v>
      </c>
      <c r="J331">
        <v>85000</v>
      </c>
      <c r="K331">
        <v>0</v>
      </c>
      <c r="L331">
        <v>255000</v>
      </c>
      <c r="M331" s="7">
        <v>255000</v>
      </c>
      <c r="N331" s="19">
        <f t="shared" si="22"/>
        <v>763200</v>
      </c>
      <c r="O331" t="str">
        <f t="shared" si="23"/>
        <v>Normal</v>
      </c>
      <c r="P331">
        <f>_xlfn.XLOOKUP(E331,Products_Master!B:B,Products_Master!D:D)</f>
        <v>600</v>
      </c>
    </row>
    <row r="332" spans="1:16" x14ac:dyDescent="0.35">
      <c r="A332" t="s">
        <v>364</v>
      </c>
      <c r="B332" s="5">
        <v>45631</v>
      </c>
      <c r="C332" s="2" t="str">
        <f t="shared" si="20"/>
        <v>December</v>
      </c>
      <c r="D332" s="2" t="str">
        <f t="shared" si="21"/>
        <v>2024</v>
      </c>
      <c r="E332" t="s">
        <v>12</v>
      </c>
      <c r="F332" t="s">
        <v>18</v>
      </c>
      <c r="G332" t="s">
        <v>14</v>
      </c>
      <c r="H332" t="s">
        <v>15</v>
      </c>
      <c r="I332">
        <v>5</v>
      </c>
      <c r="J332">
        <v>2500</v>
      </c>
      <c r="K332">
        <v>10</v>
      </c>
      <c r="L332">
        <v>12500</v>
      </c>
      <c r="M332" s="7">
        <v>11250</v>
      </c>
      <c r="N332" s="19">
        <f t="shared" si="22"/>
        <v>-118750</v>
      </c>
      <c r="O332" t="str">
        <f t="shared" si="23"/>
        <v>Normal</v>
      </c>
      <c r="P332">
        <f>_xlfn.XLOOKUP(E332,Products_Master!B:B,Products_Master!D:D)</f>
        <v>35000</v>
      </c>
    </row>
    <row r="333" spans="1:16" x14ac:dyDescent="0.35">
      <c r="A333" t="s">
        <v>365</v>
      </c>
      <c r="B333" s="5">
        <v>45632</v>
      </c>
      <c r="C333" s="2" t="str">
        <f t="shared" si="20"/>
        <v>December</v>
      </c>
      <c r="D333" s="2" t="str">
        <f t="shared" si="21"/>
        <v>2024</v>
      </c>
      <c r="E333" t="s">
        <v>23</v>
      </c>
      <c r="F333" t="s">
        <v>13</v>
      </c>
      <c r="G333" t="s">
        <v>39</v>
      </c>
      <c r="H333" t="s">
        <v>40</v>
      </c>
      <c r="I333">
        <v>3</v>
      </c>
      <c r="J333">
        <v>45000</v>
      </c>
      <c r="K333">
        <v>5</v>
      </c>
      <c r="L333">
        <v>135000</v>
      </c>
      <c r="M333" s="7">
        <v>128250</v>
      </c>
      <c r="N333" s="19">
        <f t="shared" si="22"/>
        <v>330750</v>
      </c>
      <c r="O333" t="str">
        <f t="shared" si="23"/>
        <v>Normal</v>
      </c>
      <c r="P333">
        <f>_xlfn.XLOOKUP(E333,Products_Master!B:B,Products_Master!D:D)</f>
        <v>18000</v>
      </c>
    </row>
    <row r="334" spans="1:16" x14ac:dyDescent="0.35">
      <c r="A334" t="s">
        <v>366</v>
      </c>
      <c r="B334" s="5">
        <v>45633</v>
      </c>
      <c r="C334" s="2" t="str">
        <f t="shared" si="20"/>
        <v>December</v>
      </c>
      <c r="D334" s="2" t="str">
        <f t="shared" si="21"/>
        <v>2024</v>
      </c>
      <c r="E334" t="s">
        <v>36</v>
      </c>
      <c r="F334" t="s">
        <v>18</v>
      </c>
      <c r="G334" t="s">
        <v>21</v>
      </c>
      <c r="H334" t="s">
        <v>25</v>
      </c>
      <c r="I334">
        <v>1</v>
      </c>
      <c r="J334">
        <v>15000</v>
      </c>
      <c r="K334">
        <v>5</v>
      </c>
      <c r="L334">
        <v>15000</v>
      </c>
      <c r="M334" s="7">
        <v>14250</v>
      </c>
      <c r="N334" s="19">
        <f t="shared" si="22"/>
        <v>13450</v>
      </c>
      <c r="O334" t="str">
        <f t="shared" si="23"/>
        <v>Normal</v>
      </c>
      <c r="P334">
        <f>_xlfn.XLOOKUP(E334,Products_Master!B:B,Products_Master!D:D)</f>
        <v>800</v>
      </c>
    </row>
    <row r="335" spans="1:16" x14ac:dyDescent="0.35">
      <c r="A335" t="s">
        <v>367</v>
      </c>
      <c r="B335" s="5">
        <v>45635</v>
      </c>
      <c r="C335" s="2" t="str">
        <f t="shared" si="20"/>
        <v>December</v>
      </c>
      <c r="D335" s="2" t="str">
        <f t="shared" si="21"/>
        <v>2024</v>
      </c>
      <c r="E335" t="s">
        <v>12</v>
      </c>
      <c r="F335" t="s">
        <v>13</v>
      </c>
      <c r="G335" t="s">
        <v>14</v>
      </c>
      <c r="H335" t="s">
        <v>40</v>
      </c>
      <c r="I335">
        <v>6</v>
      </c>
      <c r="J335">
        <v>8000</v>
      </c>
      <c r="K335">
        <v>10</v>
      </c>
      <c r="L335">
        <v>48000</v>
      </c>
      <c r="M335" s="7">
        <v>43200</v>
      </c>
      <c r="N335" s="19">
        <f t="shared" si="22"/>
        <v>49200</v>
      </c>
      <c r="O335" t="str">
        <f t="shared" si="23"/>
        <v>Normal</v>
      </c>
      <c r="P335">
        <f>_xlfn.XLOOKUP(E335,Products_Master!B:B,Products_Master!D:D)</f>
        <v>35000</v>
      </c>
    </row>
    <row r="336" spans="1:16" x14ac:dyDescent="0.35">
      <c r="A336" t="s">
        <v>368</v>
      </c>
      <c r="B336" s="5">
        <v>45635</v>
      </c>
      <c r="C336" s="2" t="str">
        <f t="shared" si="20"/>
        <v>December</v>
      </c>
      <c r="D336" s="2" t="str">
        <f t="shared" si="21"/>
        <v>2024</v>
      </c>
      <c r="E336" t="s">
        <v>23</v>
      </c>
      <c r="F336" t="s">
        <v>18</v>
      </c>
      <c r="G336" t="s">
        <v>37</v>
      </c>
      <c r="H336" t="s">
        <v>25</v>
      </c>
      <c r="I336">
        <v>6</v>
      </c>
      <c r="J336">
        <v>1500</v>
      </c>
      <c r="K336">
        <v>0</v>
      </c>
      <c r="L336">
        <v>9000</v>
      </c>
      <c r="M336" s="7">
        <v>9000</v>
      </c>
      <c r="N336" s="19">
        <f t="shared" si="22"/>
        <v>-54000</v>
      </c>
      <c r="O336" t="str">
        <f t="shared" si="23"/>
        <v>Normal</v>
      </c>
      <c r="P336">
        <f>_xlfn.XLOOKUP(E336,Products_Master!B:B,Products_Master!D:D)</f>
        <v>18000</v>
      </c>
    </row>
    <row r="337" spans="1:16" x14ac:dyDescent="0.35">
      <c r="A337" t="s">
        <v>369</v>
      </c>
      <c r="B337" s="5">
        <v>45636</v>
      </c>
      <c r="C337" s="2" t="str">
        <f t="shared" si="20"/>
        <v>December</v>
      </c>
      <c r="D337" s="2" t="str">
        <f t="shared" si="21"/>
        <v>2024</v>
      </c>
      <c r="E337" t="s">
        <v>31</v>
      </c>
      <c r="F337" t="s">
        <v>18</v>
      </c>
      <c r="G337" t="s">
        <v>37</v>
      </c>
      <c r="H337" t="s">
        <v>32</v>
      </c>
      <c r="I337">
        <v>5</v>
      </c>
      <c r="J337">
        <v>1500</v>
      </c>
      <c r="K337">
        <v>10</v>
      </c>
      <c r="L337">
        <v>7500</v>
      </c>
      <c r="M337" s="7">
        <v>6750</v>
      </c>
      <c r="N337" s="19">
        <f t="shared" si="22"/>
        <v>-41250</v>
      </c>
      <c r="O337" t="str">
        <f t="shared" si="23"/>
        <v>Normal</v>
      </c>
      <c r="P337">
        <f>_xlfn.XLOOKUP(E337,Products_Master!B:B,Products_Master!D:D)</f>
        <v>15000</v>
      </c>
    </row>
    <row r="338" spans="1:16" x14ac:dyDescent="0.35">
      <c r="A338" t="s">
        <v>370</v>
      </c>
      <c r="B338" s="5">
        <v>45638</v>
      </c>
      <c r="C338" s="2" t="str">
        <f t="shared" si="20"/>
        <v>December</v>
      </c>
      <c r="D338" s="2" t="str">
        <f t="shared" si="21"/>
        <v>2024</v>
      </c>
      <c r="E338" t="s">
        <v>17</v>
      </c>
      <c r="F338" t="s">
        <v>18</v>
      </c>
      <c r="G338" t="s">
        <v>19</v>
      </c>
      <c r="H338" t="s">
        <v>25</v>
      </c>
      <c r="I338">
        <v>5</v>
      </c>
      <c r="J338">
        <v>120000</v>
      </c>
      <c r="K338">
        <v>5</v>
      </c>
      <c r="L338">
        <v>600000</v>
      </c>
      <c r="M338" s="7">
        <v>570000</v>
      </c>
      <c r="N338" s="19">
        <f t="shared" si="22"/>
        <v>2840000</v>
      </c>
      <c r="O338" t="str">
        <f t="shared" si="23"/>
        <v>Normal</v>
      </c>
      <c r="P338">
        <f>_xlfn.XLOOKUP(E338,Products_Master!B:B,Products_Master!D:D)</f>
        <v>2000</v>
      </c>
    </row>
    <row r="339" spans="1:16" x14ac:dyDescent="0.35">
      <c r="A339" t="s">
        <v>371</v>
      </c>
      <c r="B339" s="5">
        <v>45639</v>
      </c>
      <c r="C339" s="2" t="str">
        <f t="shared" si="20"/>
        <v>December</v>
      </c>
      <c r="D339" s="2" t="str">
        <f t="shared" si="21"/>
        <v>2024</v>
      </c>
      <c r="E339" t="s">
        <v>27</v>
      </c>
      <c r="F339" t="s">
        <v>18</v>
      </c>
      <c r="G339" t="s">
        <v>14</v>
      </c>
      <c r="H339" t="s">
        <v>32</v>
      </c>
      <c r="I339">
        <v>2</v>
      </c>
      <c r="J339">
        <v>45000</v>
      </c>
      <c r="K339">
        <v>5</v>
      </c>
      <c r="L339">
        <v>90000</v>
      </c>
      <c r="M339" s="7">
        <v>85500</v>
      </c>
      <c r="N339" s="19">
        <f t="shared" si="22"/>
        <v>169200</v>
      </c>
      <c r="O339" t="str">
        <f t="shared" si="23"/>
        <v>Normal</v>
      </c>
      <c r="P339">
        <f>_xlfn.XLOOKUP(E339,Products_Master!B:B,Products_Master!D:D)</f>
        <v>900</v>
      </c>
    </row>
    <row r="340" spans="1:16" x14ac:dyDescent="0.35">
      <c r="A340" t="s">
        <v>372</v>
      </c>
      <c r="B340" s="5">
        <v>45640</v>
      </c>
      <c r="C340" s="2" t="str">
        <f t="shared" si="20"/>
        <v>December</v>
      </c>
      <c r="D340" s="2" t="str">
        <f t="shared" si="21"/>
        <v>2024</v>
      </c>
      <c r="E340" t="s">
        <v>42</v>
      </c>
      <c r="F340" t="s">
        <v>18</v>
      </c>
      <c r="G340" t="s">
        <v>37</v>
      </c>
      <c r="H340" t="s">
        <v>40</v>
      </c>
      <c r="I340">
        <v>4</v>
      </c>
      <c r="J340">
        <v>85000</v>
      </c>
      <c r="K340">
        <v>0</v>
      </c>
      <c r="L340">
        <v>340000</v>
      </c>
      <c r="M340" s="7">
        <v>340000</v>
      </c>
      <c r="N340" s="19">
        <f t="shared" si="22"/>
        <v>1357600</v>
      </c>
      <c r="O340" t="str">
        <f t="shared" si="23"/>
        <v>Normal</v>
      </c>
      <c r="P340">
        <f>_xlfn.XLOOKUP(E340,Products_Master!B:B,Products_Master!D:D)</f>
        <v>600</v>
      </c>
    </row>
    <row r="341" spans="1:16" x14ac:dyDescent="0.35">
      <c r="A341" t="s">
        <v>373</v>
      </c>
      <c r="B341" s="5">
        <v>45640</v>
      </c>
      <c r="C341" s="2" t="str">
        <f t="shared" si="20"/>
        <v>December</v>
      </c>
      <c r="D341" s="2" t="str">
        <f t="shared" si="21"/>
        <v>2024</v>
      </c>
      <c r="E341" t="s">
        <v>17</v>
      </c>
      <c r="F341" t="s">
        <v>18</v>
      </c>
      <c r="G341" t="s">
        <v>39</v>
      </c>
      <c r="H341" t="s">
        <v>15</v>
      </c>
      <c r="I341">
        <v>8</v>
      </c>
      <c r="J341">
        <v>45000</v>
      </c>
      <c r="K341">
        <v>5</v>
      </c>
      <c r="L341">
        <v>360000</v>
      </c>
      <c r="M341" s="7">
        <v>342000</v>
      </c>
      <c r="N341" s="19">
        <f t="shared" si="22"/>
        <v>2720000</v>
      </c>
      <c r="O341" t="str">
        <f t="shared" si="23"/>
        <v>Normal</v>
      </c>
      <c r="P341">
        <f>_xlfn.XLOOKUP(E341,Products_Master!B:B,Products_Master!D:D)</f>
        <v>2000</v>
      </c>
    </row>
    <row r="342" spans="1:16" x14ac:dyDescent="0.35">
      <c r="A342" t="s">
        <v>374</v>
      </c>
      <c r="B342" s="5">
        <v>45643</v>
      </c>
      <c r="C342" s="2" t="str">
        <f t="shared" si="20"/>
        <v>December</v>
      </c>
      <c r="D342" s="2" t="str">
        <f t="shared" si="21"/>
        <v>2024</v>
      </c>
      <c r="E342" t="s">
        <v>12</v>
      </c>
      <c r="F342" t="s">
        <v>18</v>
      </c>
      <c r="G342" t="s">
        <v>21</v>
      </c>
      <c r="H342" t="s">
        <v>32</v>
      </c>
      <c r="I342">
        <v>2</v>
      </c>
      <c r="J342">
        <v>85000</v>
      </c>
      <c r="K342">
        <v>0</v>
      </c>
      <c r="L342">
        <v>170000</v>
      </c>
      <c r="M342" s="7">
        <v>170000</v>
      </c>
      <c r="N342" s="19">
        <f t="shared" si="22"/>
        <v>270000</v>
      </c>
      <c r="O342" t="str">
        <f t="shared" si="23"/>
        <v>Normal</v>
      </c>
      <c r="P342">
        <f>_xlfn.XLOOKUP(E342,Products_Master!B:B,Products_Master!D:D)</f>
        <v>35000</v>
      </c>
    </row>
    <row r="343" spans="1:16" x14ac:dyDescent="0.35">
      <c r="A343" t="s">
        <v>375</v>
      </c>
      <c r="B343" s="5">
        <v>45644</v>
      </c>
      <c r="C343" s="2" t="str">
        <f t="shared" si="20"/>
        <v>December</v>
      </c>
      <c r="D343" s="2" t="str">
        <f t="shared" si="21"/>
        <v>2024</v>
      </c>
      <c r="E343" t="s">
        <v>42</v>
      </c>
      <c r="F343" t="s">
        <v>13</v>
      </c>
      <c r="G343" t="s">
        <v>19</v>
      </c>
      <c r="H343" t="s">
        <v>32</v>
      </c>
      <c r="I343">
        <v>3</v>
      </c>
      <c r="J343">
        <v>8000</v>
      </c>
      <c r="K343">
        <v>15</v>
      </c>
      <c r="L343">
        <v>24000</v>
      </c>
      <c r="M343" s="7">
        <v>20400</v>
      </c>
      <c r="N343" s="19">
        <f t="shared" si="22"/>
        <v>59400</v>
      </c>
      <c r="O343" t="str">
        <f t="shared" si="23"/>
        <v>Normal</v>
      </c>
      <c r="P343">
        <f>_xlfn.XLOOKUP(E343,Products_Master!B:B,Products_Master!D:D)</f>
        <v>600</v>
      </c>
    </row>
    <row r="344" spans="1:16" x14ac:dyDescent="0.35">
      <c r="A344" t="s">
        <v>376</v>
      </c>
      <c r="B344" s="5">
        <v>45645</v>
      </c>
      <c r="C344" s="2" t="str">
        <f t="shared" si="20"/>
        <v>December</v>
      </c>
      <c r="D344" s="2" t="str">
        <f t="shared" si="21"/>
        <v>2024</v>
      </c>
      <c r="E344" t="s">
        <v>12</v>
      </c>
      <c r="F344" t="s">
        <v>18</v>
      </c>
      <c r="G344" t="s">
        <v>19</v>
      </c>
      <c r="H344" t="s">
        <v>29</v>
      </c>
      <c r="I344">
        <v>8</v>
      </c>
      <c r="J344">
        <v>1500</v>
      </c>
      <c r="K344">
        <v>5</v>
      </c>
      <c r="L344">
        <v>12000</v>
      </c>
      <c r="M344" s="7">
        <v>11400</v>
      </c>
      <c r="N344" s="19">
        <f t="shared" si="22"/>
        <v>-188800</v>
      </c>
      <c r="O344" t="str">
        <f t="shared" si="23"/>
        <v>Normal</v>
      </c>
      <c r="P344">
        <f>_xlfn.XLOOKUP(E344,Products_Master!B:B,Products_Master!D:D)</f>
        <v>35000</v>
      </c>
    </row>
    <row r="345" spans="1:16" x14ac:dyDescent="0.35">
      <c r="A345" t="s">
        <v>377</v>
      </c>
      <c r="B345" s="5">
        <v>45649</v>
      </c>
      <c r="C345" s="2" t="str">
        <f t="shared" si="20"/>
        <v>December</v>
      </c>
      <c r="D345" s="2" t="str">
        <f t="shared" si="21"/>
        <v>2024</v>
      </c>
      <c r="E345" t="s">
        <v>54</v>
      </c>
      <c r="F345" t="s">
        <v>18</v>
      </c>
      <c r="G345" t="s">
        <v>19</v>
      </c>
      <c r="H345" t="s">
        <v>25</v>
      </c>
      <c r="I345">
        <v>4</v>
      </c>
      <c r="J345">
        <v>15000</v>
      </c>
      <c r="K345">
        <v>0</v>
      </c>
      <c r="L345">
        <v>60000</v>
      </c>
      <c r="M345" s="7">
        <v>60000</v>
      </c>
      <c r="N345" s="19">
        <f t="shared" si="22"/>
        <v>-40000</v>
      </c>
      <c r="O345" t="str">
        <f t="shared" si="23"/>
        <v>Normal</v>
      </c>
      <c r="P345">
        <f>_xlfn.XLOOKUP(E345,Products_Master!B:B,Products_Master!D:D)</f>
        <v>70000</v>
      </c>
    </row>
    <row r="346" spans="1:16" x14ac:dyDescent="0.35">
      <c r="A346" t="s">
        <v>378</v>
      </c>
      <c r="B346" s="5">
        <v>45650</v>
      </c>
      <c r="C346" s="2" t="str">
        <f t="shared" si="20"/>
        <v>December</v>
      </c>
      <c r="D346" s="2" t="str">
        <f t="shared" si="21"/>
        <v>2024</v>
      </c>
      <c r="E346" t="s">
        <v>27</v>
      </c>
      <c r="F346" t="s">
        <v>18</v>
      </c>
      <c r="G346" t="s">
        <v>24</v>
      </c>
      <c r="H346" t="s">
        <v>40</v>
      </c>
      <c r="I346">
        <v>7</v>
      </c>
      <c r="J346">
        <v>45000</v>
      </c>
      <c r="K346">
        <v>10</v>
      </c>
      <c r="L346">
        <v>315000</v>
      </c>
      <c r="M346" s="7">
        <v>283500</v>
      </c>
      <c r="N346" s="19">
        <f t="shared" si="22"/>
        <v>1978200</v>
      </c>
      <c r="O346" t="str">
        <f t="shared" si="23"/>
        <v>Normal</v>
      </c>
      <c r="P346">
        <f>_xlfn.XLOOKUP(E346,Products_Master!B:B,Products_Master!D:D)</f>
        <v>900</v>
      </c>
    </row>
    <row r="347" spans="1:16" x14ac:dyDescent="0.35">
      <c r="A347" t="s">
        <v>379</v>
      </c>
      <c r="B347" s="5">
        <v>45651</v>
      </c>
      <c r="C347" s="2" t="str">
        <f t="shared" si="20"/>
        <v>December</v>
      </c>
      <c r="D347" s="2" t="str">
        <f t="shared" si="21"/>
        <v>2024</v>
      </c>
      <c r="E347" t="s">
        <v>17</v>
      </c>
      <c r="F347" t="s">
        <v>18</v>
      </c>
      <c r="G347" t="s">
        <v>19</v>
      </c>
      <c r="H347" t="s">
        <v>49</v>
      </c>
      <c r="I347">
        <v>7</v>
      </c>
      <c r="J347">
        <v>15000</v>
      </c>
      <c r="K347">
        <v>0</v>
      </c>
      <c r="L347">
        <v>105000</v>
      </c>
      <c r="M347" s="7">
        <v>105000</v>
      </c>
      <c r="N347" s="19">
        <f t="shared" si="22"/>
        <v>721000</v>
      </c>
      <c r="O347" t="str">
        <f t="shared" si="23"/>
        <v>Normal</v>
      </c>
      <c r="P347">
        <f>_xlfn.XLOOKUP(E347,Products_Master!B:B,Products_Master!D:D)</f>
        <v>2000</v>
      </c>
    </row>
    <row r="348" spans="1:16" x14ac:dyDescent="0.35">
      <c r="A348" t="s">
        <v>380</v>
      </c>
      <c r="B348" s="5">
        <v>45652</v>
      </c>
      <c r="C348" s="2" t="str">
        <f t="shared" si="20"/>
        <v>December</v>
      </c>
      <c r="D348" s="2" t="str">
        <f t="shared" si="21"/>
        <v>2024</v>
      </c>
      <c r="E348" t="s">
        <v>17</v>
      </c>
      <c r="F348" t="s">
        <v>18</v>
      </c>
      <c r="G348" t="s">
        <v>19</v>
      </c>
      <c r="H348" t="s">
        <v>34</v>
      </c>
      <c r="I348">
        <v>2</v>
      </c>
      <c r="J348">
        <v>15000</v>
      </c>
      <c r="K348">
        <v>5</v>
      </c>
      <c r="L348">
        <v>30000</v>
      </c>
      <c r="M348" s="7">
        <v>28500</v>
      </c>
      <c r="N348" s="19">
        <f t="shared" si="22"/>
        <v>53000</v>
      </c>
      <c r="O348" t="str">
        <f t="shared" si="23"/>
        <v>Normal</v>
      </c>
      <c r="P348">
        <f>_xlfn.XLOOKUP(E348,Products_Master!B:B,Products_Master!D:D)</f>
        <v>2000</v>
      </c>
    </row>
    <row r="349" spans="1:16" x14ac:dyDescent="0.35">
      <c r="A349" t="s">
        <v>381</v>
      </c>
      <c r="B349" s="5">
        <v>45654</v>
      </c>
      <c r="C349" s="2" t="str">
        <f t="shared" si="20"/>
        <v>December</v>
      </c>
      <c r="D349" s="2" t="str">
        <f t="shared" si="21"/>
        <v>2024</v>
      </c>
      <c r="E349" t="s">
        <v>31</v>
      </c>
      <c r="F349" t="s">
        <v>13</v>
      </c>
      <c r="G349" t="s">
        <v>21</v>
      </c>
      <c r="H349" t="s">
        <v>34</v>
      </c>
      <c r="I349">
        <v>1</v>
      </c>
      <c r="J349">
        <v>1500</v>
      </c>
      <c r="K349">
        <v>0</v>
      </c>
      <c r="L349">
        <v>1500</v>
      </c>
      <c r="M349" s="7">
        <v>1500</v>
      </c>
      <c r="N349" s="19">
        <f t="shared" si="22"/>
        <v>-13500</v>
      </c>
      <c r="O349" t="str">
        <f t="shared" si="23"/>
        <v>Normal</v>
      </c>
      <c r="P349">
        <f>_xlfn.XLOOKUP(E349,Products_Master!B:B,Products_Master!D:D)</f>
        <v>15000</v>
      </c>
    </row>
    <row r="350" spans="1:16" x14ac:dyDescent="0.35">
      <c r="A350" t="s">
        <v>382</v>
      </c>
      <c r="B350" s="5">
        <v>45654</v>
      </c>
      <c r="C350" s="2" t="str">
        <f t="shared" si="20"/>
        <v>December</v>
      </c>
      <c r="D350" s="2" t="str">
        <f t="shared" si="21"/>
        <v>2024</v>
      </c>
      <c r="E350" t="s">
        <v>36</v>
      </c>
      <c r="F350" t="s">
        <v>18</v>
      </c>
      <c r="G350" t="s">
        <v>24</v>
      </c>
      <c r="H350" t="s">
        <v>34</v>
      </c>
      <c r="I350">
        <v>1</v>
      </c>
      <c r="J350">
        <v>85000</v>
      </c>
      <c r="K350">
        <v>10</v>
      </c>
      <c r="L350">
        <v>85000</v>
      </c>
      <c r="M350" s="7">
        <v>76500</v>
      </c>
      <c r="N350" s="19">
        <f t="shared" si="22"/>
        <v>75700</v>
      </c>
      <c r="O350" t="str">
        <f t="shared" si="23"/>
        <v>Normal</v>
      </c>
      <c r="P350">
        <f>_xlfn.XLOOKUP(E350,Products_Master!B:B,Products_Master!D:D)</f>
        <v>800</v>
      </c>
    </row>
    <row r="351" spans="1:16" x14ac:dyDescent="0.35">
      <c r="A351" t="s">
        <v>383</v>
      </c>
      <c r="B351" s="5">
        <v>45655</v>
      </c>
      <c r="C351" s="2" t="str">
        <f t="shared" si="20"/>
        <v>December</v>
      </c>
      <c r="D351" s="2" t="str">
        <f t="shared" si="21"/>
        <v>2024</v>
      </c>
      <c r="E351" t="s">
        <v>54</v>
      </c>
      <c r="F351" t="s">
        <v>18</v>
      </c>
      <c r="G351" t="s">
        <v>37</v>
      </c>
      <c r="H351" t="s">
        <v>49</v>
      </c>
      <c r="I351">
        <v>2</v>
      </c>
      <c r="J351">
        <v>8000</v>
      </c>
      <c r="K351">
        <v>15</v>
      </c>
      <c r="L351">
        <v>16000</v>
      </c>
      <c r="M351" s="7">
        <v>13600</v>
      </c>
      <c r="N351" s="19">
        <f t="shared" si="22"/>
        <v>-112800</v>
      </c>
      <c r="O351" t="str">
        <f t="shared" si="23"/>
        <v>Normal</v>
      </c>
      <c r="P351">
        <f>_xlfn.XLOOKUP(E351,Products_Master!B:B,Products_Master!D:D)</f>
        <v>70000</v>
      </c>
    </row>
    <row r="352" spans="1:16" x14ac:dyDescent="0.35">
      <c r="A352" t="s">
        <v>384</v>
      </c>
      <c r="B352" s="5">
        <v>45658</v>
      </c>
      <c r="C352" s="2" t="str">
        <f t="shared" si="20"/>
        <v>January</v>
      </c>
      <c r="D352" s="2" t="str">
        <f t="shared" si="21"/>
        <v>2025</v>
      </c>
      <c r="E352" t="s">
        <v>42</v>
      </c>
      <c r="F352" t="s">
        <v>18</v>
      </c>
      <c r="G352" t="s">
        <v>24</v>
      </c>
      <c r="H352" t="s">
        <v>25</v>
      </c>
      <c r="I352">
        <v>2</v>
      </c>
      <c r="J352">
        <v>120000</v>
      </c>
      <c r="K352">
        <v>5</v>
      </c>
      <c r="L352">
        <v>240000</v>
      </c>
      <c r="M352" s="7">
        <v>228000</v>
      </c>
      <c r="N352" s="19">
        <f t="shared" si="22"/>
        <v>454800</v>
      </c>
      <c r="O352" t="str">
        <f t="shared" si="23"/>
        <v>Normal</v>
      </c>
      <c r="P352">
        <f>_xlfn.XLOOKUP(E352,Products_Master!B:B,Products_Master!D:D)</f>
        <v>600</v>
      </c>
    </row>
    <row r="353" spans="1:16" x14ac:dyDescent="0.35">
      <c r="A353" t="s">
        <v>385</v>
      </c>
      <c r="B353" s="5">
        <v>45659</v>
      </c>
      <c r="C353" s="2" t="str">
        <f t="shared" si="20"/>
        <v>January</v>
      </c>
      <c r="D353" s="2" t="str">
        <f t="shared" si="21"/>
        <v>2025</v>
      </c>
      <c r="E353" t="s">
        <v>12</v>
      </c>
      <c r="F353" t="s">
        <v>13</v>
      </c>
      <c r="G353" t="s">
        <v>24</v>
      </c>
      <c r="H353" t="s">
        <v>40</v>
      </c>
      <c r="I353">
        <v>3</v>
      </c>
      <c r="J353">
        <v>2500</v>
      </c>
      <c r="K353">
        <v>10</v>
      </c>
      <c r="L353">
        <v>7500</v>
      </c>
      <c r="M353" s="7">
        <v>6750</v>
      </c>
      <c r="N353" s="19">
        <f t="shared" si="22"/>
        <v>-84750</v>
      </c>
      <c r="O353" t="str">
        <f t="shared" si="23"/>
        <v>Normal</v>
      </c>
      <c r="P353">
        <f>_xlfn.XLOOKUP(E353,Products_Master!B:B,Products_Master!D:D)</f>
        <v>35000</v>
      </c>
    </row>
    <row r="354" spans="1:16" x14ac:dyDescent="0.35">
      <c r="A354" t="s">
        <v>386</v>
      </c>
      <c r="B354" s="5">
        <v>45662</v>
      </c>
      <c r="C354" s="2" t="str">
        <f t="shared" si="20"/>
        <v>January</v>
      </c>
      <c r="D354" s="2" t="str">
        <f t="shared" si="21"/>
        <v>2025</v>
      </c>
      <c r="E354" t="s">
        <v>12</v>
      </c>
      <c r="F354" t="s">
        <v>13</v>
      </c>
      <c r="G354" t="s">
        <v>21</v>
      </c>
      <c r="H354" t="s">
        <v>25</v>
      </c>
      <c r="I354">
        <v>2</v>
      </c>
      <c r="J354">
        <v>1500</v>
      </c>
      <c r="K354">
        <v>10</v>
      </c>
      <c r="L354">
        <v>3000</v>
      </c>
      <c r="M354" s="7">
        <v>2700</v>
      </c>
      <c r="N354" s="19">
        <f t="shared" si="22"/>
        <v>-64600</v>
      </c>
      <c r="O354" t="str">
        <f t="shared" si="23"/>
        <v>Normal</v>
      </c>
      <c r="P354">
        <f>_xlfn.XLOOKUP(E354,Products_Master!B:B,Products_Master!D:D)</f>
        <v>35000</v>
      </c>
    </row>
    <row r="355" spans="1:16" x14ac:dyDescent="0.35">
      <c r="A355" t="s">
        <v>387</v>
      </c>
      <c r="B355" s="5">
        <v>45662</v>
      </c>
      <c r="C355" s="2" t="str">
        <f t="shared" si="20"/>
        <v>January</v>
      </c>
      <c r="D355" s="2" t="str">
        <f t="shared" si="21"/>
        <v>2025</v>
      </c>
      <c r="E355" t="s">
        <v>12</v>
      </c>
      <c r="F355" t="s">
        <v>13</v>
      </c>
      <c r="G355" t="s">
        <v>21</v>
      </c>
      <c r="H355" t="s">
        <v>29</v>
      </c>
      <c r="I355">
        <v>3</v>
      </c>
      <c r="J355">
        <v>120000</v>
      </c>
      <c r="K355">
        <v>0</v>
      </c>
      <c r="L355">
        <v>360000</v>
      </c>
      <c r="M355" s="7">
        <v>360000</v>
      </c>
      <c r="N355" s="19">
        <f t="shared" si="22"/>
        <v>975000</v>
      </c>
      <c r="O355" t="str">
        <f t="shared" si="23"/>
        <v>Normal</v>
      </c>
      <c r="P355">
        <f>_xlfn.XLOOKUP(E355,Products_Master!B:B,Products_Master!D:D)</f>
        <v>35000</v>
      </c>
    </row>
    <row r="356" spans="1:16" x14ac:dyDescent="0.35">
      <c r="A356" t="s">
        <v>388</v>
      </c>
      <c r="B356" s="5">
        <v>45663</v>
      </c>
      <c r="C356" s="2" t="str">
        <f t="shared" si="20"/>
        <v>January</v>
      </c>
      <c r="D356" s="2" t="str">
        <f t="shared" si="21"/>
        <v>2025</v>
      </c>
      <c r="E356" t="s">
        <v>36</v>
      </c>
      <c r="F356" t="s">
        <v>18</v>
      </c>
      <c r="G356" t="s">
        <v>37</v>
      </c>
      <c r="H356" t="s">
        <v>34</v>
      </c>
      <c r="I356">
        <v>1</v>
      </c>
      <c r="J356">
        <v>85000</v>
      </c>
      <c r="K356">
        <v>10</v>
      </c>
      <c r="L356">
        <v>85000</v>
      </c>
      <c r="M356" s="7">
        <v>76500</v>
      </c>
      <c r="N356" s="19">
        <f t="shared" si="22"/>
        <v>75700</v>
      </c>
      <c r="O356" t="str">
        <f t="shared" si="23"/>
        <v>Normal</v>
      </c>
      <c r="P356">
        <f>_xlfn.XLOOKUP(E356,Products_Master!B:B,Products_Master!D:D)</f>
        <v>800</v>
      </c>
    </row>
    <row r="357" spans="1:16" x14ac:dyDescent="0.35">
      <c r="A357" t="s">
        <v>389</v>
      </c>
      <c r="B357" s="5">
        <v>45664</v>
      </c>
      <c r="C357" s="2" t="str">
        <f t="shared" si="20"/>
        <v>January</v>
      </c>
      <c r="D357" s="2" t="str">
        <f t="shared" si="21"/>
        <v>2025</v>
      </c>
      <c r="E357" t="s">
        <v>31</v>
      </c>
      <c r="F357" t="s">
        <v>13</v>
      </c>
      <c r="G357" t="s">
        <v>21</v>
      </c>
      <c r="H357" t="s">
        <v>40</v>
      </c>
      <c r="I357">
        <v>2</v>
      </c>
      <c r="J357">
        <v>2500</v>
      </c>
      <c r="K357">
        <v>10</v>
      </c>
      <c r="L357">
        <v>5000</v>
      </c>
      <c r="M357" s="7">
        <v>4500</v>
      </c>
      <c r="N357" s="19">
        <f t="shared" si="22"/>
        <v>-21000</v>
      </c>
      <c r="O357" t="str">
        <f t="shared" si="23"/>
        <v>Normal</v>
      </c>
      <c r="P357">
        <f>_xlfn.XLOOKUP(E357,Products_Master!B:B,Products_Master!D:D)</f>
        <v>15000</v>
      </c>
    </row>
    <row r="358" spans="1:16" x14ac:dyDescent="0.35">
      <c r="A358" t="s">
        <v>390</v>
      </c>
      <c r="B358" s="5">
        <v>45665</v>
      </c>
      <c r="C358" s="2" t="str">
        <f t="shared" si="20"/>
        <v>January</v>
      </c>
      <c r="D358" s="2" t="str">
        <f t="shared" si="21"/>
        <v>2025</v>
      </c>
      <c r="E358" t="s">
        <v>17</v>
      </c>
      <c r="F358" t="s">
        <v>18</v>
      </c>
      <c r="G358" t="s">
        <v>39</v>
      </c>
      <c r="H358" t="s">
        <v>49</v>
      </c>
      <c r="I358">
        <v>4</v>
      </c>
      <c r="J358">
        <v>45000</v>
      </c>
      <c r="K358">
        <v>5</v>
      </c>
      <c r="L358">
        <v>180000</v>
      </c>
      <c r="M358" s="7">
        <v>171000</v>
      </c>
      <c r="N358" s="19">
        <f t="shared" si="22"/>
        <v>676000</v>
      </c>
      <c r="O358" t="str">
        <f t="shared" si="23"/>
        <v>Normal</v>
      </c>
      <c r="P358">
        <f>_xlfn.XLOOKUP(E358,Products_Master!B:B,Products_Master!D:D)</f>
        <v>2000</v>
      </c>
    </row>
    <row r="359" spans="1:16" x14ac:dyDescent="0.35">
      <c r="A359" t="s">
        <v>391</v>
      </c>
      <c r="B359" s="5">
        <v>45665</v>
      </c>
      <c r="C359" s="2" t="str">
        <f t="shared" si="20"/>
        <v>January</v>
      </c>
      <c r="D359" s="2" t="str">
        <f t="shared" si="21"/>
        <v>2025</v>
      </c>
      <c r="E359" t="s">
        <v>27</v>
      </c>
      <c r="F359" t="s">
        <v>13</v>
      </c>
      <c r="G359" t="s">
        <v>39</v>
      </c>
      <c r="H359" t="s">
        <v>34</v>
      </c>
      <c r="I359">
        <v>7</v>
      </c>
      <c r="J359">
        <v>45000</v>
      </c>
      <c r="K359">
        <v>0</v>
      </c>
      <c r="L359">
        <v>315000</v>
      </c>
      <c r="M359" s="7">
        <v>315000</v>
      </c>
      <c r="N359" s="19">
        <f t="shared" si="22"/>
        <v>2198700</v>
      </c>
      <c r="O359" t="str">
        <f t="shared" si="23"/>
        <v>Normal</v>
      </c>
      <c r="P359">
        <f>_xlfn.XLOOKUP(E359,Products_Master!B:B,Products_Master!D:D)</f>
        <v>900</v>
      </c>
    </row>
    <row r="360" spans="1:16" x14ac:dyDescent="0.35">
      <c r="A360" t="s">
        <v>392</v>
      </c>
      <c r="B360" s="5">
        <v>45670</v>
      </c>
      <c r="C360" s="2" t="str">
        <f t="shared" si="20"/>
        <v>January</v>
      </c>
      <c r="D360" s="2" t="str">
        <f t="shared" si="21"/>
        <v>2025</v>
      </c>
      <c r="E360" t="s">
        <v>23</v>
      </c>
      <c r="F360" t="s">
        <v>13</v>
      </c>
      <c r="G360" t="s">
        <v>14</v>
      </c>
      <c r="H360" t="s">
        <v>40</v>
      </c>
      <c r="I360">
        <v>5</v>
      </c>
      <c r="J360">
        <v>85000</v>
      </c>
      <c r="K360">
        <v>0</v>
      </c>
      <c r="L360">
        <v>425000</v>
      </c>
      <c r="M360" s="7">
        <v>425000</v>
      </c>
      <c r="N360" s="19">
        <f t="shared" si="22"/>
        <v>2035000</v>
      </c>
      <c r="O360" t="str">
        <f t="shared" si="23"/>
        <v>Normal</v>
      </c>
      <c r="P360">
        <f>_xlfn.XLOOKUP(E360,Products_Master!B:B,Products_Master!D:D)</f>
        <v>18000</v>
      </c>
    </row>
    <row r="361" spans="1:16" x14ac:dyDescent="0.35">
      <c r="A361" t="s">
        <v>393</v>
      </c>
      <c r="B361" s="5">
        <v>45670</v>
      </c>
      <c r="C361" s="2" t="str">
        <f t="shared" si="20"/>
        <v>January</v>
      </c>
      <c r="D361" s="2" t="str">
        <f t="shared" si="21"/>
        <v>2025</v>
      </c>
      <c r="E361" t="s">
        <v>42</v>
      </c>
      <c r="F361" t="s">
        <v>18</v>
      </c>
      <c r="G361" t="s">
        <v>19</v>
      </c>
      <c r="H361" t="s">
        <v>25</v>
      </c>
      <c r="I361">
        <v>7</v>
      </c>
      <c r="J361">
        <v>8000</v>
      </c>
      <c r="K361">
        <v>5</v>
      </c>
      <c r="L361">
        <v>56000</v>
      </c>
      <c r="M361" s="7">
        <v>53200</v>
      </c>
      <c r="N361" s="19">
        <f t="shared" si="22"/>
        <v>368200</v>
      </c>
      <c r="O361" t="str">
        <f t="shared" si="23"/>
        <v>Normal</v>
      </c>
      <c r="P361">
        <f>_xlfn.XLOOKUP(E361,Products_Master!B:B,Products_Master!D:D)</f>
        <v>600</v>
      </c>
    </row>
    <row r="362" spans="1:16" x14ac:dyDescent="0.35">
      <c r="A362" t="s">
        <v>394</v>
      </c>
      <c r="B362" s="5">
        <v>45671</v>
      </c>
      <c r="C362" s="2" t="str">
        <f t="shared" si="20"/>
        <v>January</v>
      </c>
      <c r="D362" s="2" t="str">
        <f t="shared" si="21"/>
        <v>2025</v>
      </c>
      <c r="E362" t="s">
        <v>31</v>
      </c>
      <c r="F362" t="s">
        <v>18</v>
      </c>
      <c r="G362" t="s">
        <v>37</v>
      </c>
      <c r="H362" t="s">
        <v>40</v>
      </c>
      <c r="I362">
        <v>7</v>
      </c>
      <c r="J362">
        <v>15000</v>
      </c>
      <c r="K362">
        <v>10</v>
      </c>
      <c r="L362">
        <v>105000</v>
      </c>
      <c r="M362" s="7">
        <v>94500</v>
      </c>
      <c r="N362" s="19">
        <f t="shared" si="22"/>
        <v>556500</v>
      </c>
      <c r="O362" t="str">
        <f t="shared" si="23"/>
        <v>Normal</v>
      </c>
      <c r="P362">
        <f>_xlfn.XLOOKUP(E362,Products_Master!B:B,Products_Master!D:D)</f>
        <v>15000</v>
      </c>
    </row>
    <row r="363" spans="1:16" x14ac:dyDescent="0.35">
      <c r="A363" t="s">
        <v>395</v>
      </c>
      <c r="B363" s="5">
        <v>45674</v>
      </c>
      <c r="C363" s="2" t="str">
        <f t="shared" si="20"/>
        <v>January</v>
      </c>
      <c r="D363" s="2" t="str">
        <f t="shared" si="21"/>
        <v>2025</v>
      </c>
      <c r="E363" t="s">
        <v>23</v>
      </c>
      <c r="F363" t="s">
        <v>18</v>
      </c>
      <c r="G363" t="s">
        <v>21</v>
      </c>
      <c r="H363" t="s">
        <v>34</v>
      </c>
      <c r="I363">
        <v>6</v>
      </c>
      <c r="J363">
        <v>8000</v>
      </c>
      <c r="K363">
        <v>0</v>
      </c>
      <c r="L363">
        <v>48000</v>
      </c>
      <c r="M363" s="7">
        <v>48000</v>
      </c>
      <c r="N363" s="19">
        <f t="shared" si="22"/>
        <v>180000</v>
      </c>
      <c r="O363" t="str">
        <f t="shared" si="23"/>
        <v>Normal</v>
      </c>
      <c r="P363">
        <f>_xlfn.XLOOKUP(E363,Products_Master!B:B,Products_Master!D:D)</f>
        <v>18000</v>
      </c>
    </row>
    <row r="364" spans="1:16" x14ac:dyDescent="0.35">
      <c r="A364" t="s">
        <v>396</v>
      </c>
      <c r="B364" s="5">
        <v>45674</v>
      </c>
      <c r="C364" s="2" t="str">
        <f t="shared" si="20"/>
        <v>January</v>
      </c>
      <c r="D364" s="2" t="str">
        <f t="shared" si="21"/>
        <v>2025</v>
      </c>
      <c r="E364" t="s">
        <v>36</v>
      </c>
      <c r="F364" t="s">
        <v>13</v>
      </c>
      <c r="G364" t="s">
        <v>24</v>
      </c>
      <c r="H364" t="s">
        <v>15</v>
      </c>
      <c r="I364">
        <v>3</v>
      </c>
      <c r="J364">
        <v>15000</v>
      </c>
      <c r="K364">
        <v>10</v>
      </c>
      <c r="L364">
        <v>45000</v>
      </c>
      <c r="M364" s="7">
        <v>40500</v>
      </c>
      <c r="N364" s="19">
        <f t="shared" si="22"/>
        <v>119100</v>
      </c>
      <c r="O364" t="str">
        <f t="shared" si="23"/>
        <v>Normal</v>
      </c>
      <c r="P364">
        <f>_xlfn.XLOOKUP(E364,Products_Master!B:B,Products_Master!D:D)</f>
        <v>800</v>
      </c>
    </row>
    <row r="365" spans="1:16" x14ac:dyDescent="0.35">
      <c r="A365" t="s">
        <v>397</v>
      </c>
      <c r="B365" s="5">
        <v>45679</v>
      </c>
      <c r="C365" s="2" t="str">
        <f t="shared" si="20"/>
        <v>January</v>
      </c>
      <c r="D365" s="2" t="str">
        <f t="shared" si="21"/>
        <v>2025</v>
      </c>
      <c r="E365" t="s">
        <v>23</v>
      </c>
      <c r="F365" t="s">
        <v>18</v>
      </c>
      <c r="G365" t="s">
        <v>24</v>
      </c>
      <c r="H365" t="s">
        <v>25</v>
      </c>
      <c r="I365">
        <v>1</v>
      </c>
      <c r="J365">
        <v>1500</v>
      </c>
      <c r="K365">
        <v>5</v>
      </c>
      <c r="L365">
        <v>1500</v>
      </c>
      <c r="M365" s="7">
        <v>1425</v>
      </c>
      <c r="N365" s="19">
        <f t="shared" si="22"/>
        <v>-16575</v>
      </c>
      <c r="O365" t="str">
        <f t="shared" si="23"/>
        <v>Normal</v>
      </c>
      <c r="P365">
        <f>_xlfn.XLOOKUP(E365,Products_Master!B:B,Products_Master!D:D)</f>
        <v>18000</v>
      </c>
    </row>
    <row r="366" spans="1:16" x14ac:dyDescent="0.35">
      <c r="A366" t="s">
        <v>398</v>
      </c>
      <c r="B366" s="5">
        <v>45680</v>
      </c>
      <c r="C366" s="2" t="str">
        <f t="shared" si="20"/>
        <v>January</v>
      </c>
      <c r="D366" s="2" t="str">
        <f t="shared" si="21"/>
        <v>2025</v>
      </c>
      <c r="E366" t="s">
        <v>23</v>
      </c>
      <c r="F366" t="s">
        <v>18</v>
      </c>
      <c r="G366" t="s">
        <v>14</v>
      </c>
      <c r="H366" t="s">
        <v>15</v>
      </c>
      <c r="I366">
        <v>3</v>
      </c>
      <c r="J366">
        <v>8000</v>
      </c>
      <c r="K366">
        <v>10</v>
      </c>
      <c r="L366">
        <v>24000</v>
      </c>
      <c r="M366" s="7">
        <v>21600</v>
      </c>
      <c r="N366" s="19">
        <f t="shared" si="22"/>
        <v>10800</v>
      </c>
      <c r="O366" t="str">
        <f t="shared" si="23"/>
        <v>Normal</v>
      </c>
      <c r="P366">
        <f>_xlfn.XLOOKUP(E366,Products_Master!B:B,Products_Master!D:D)</f>
        <v>18000</v>
      </c>
    </row>
    <row r="367" spans="1:16" x14ac:dyDescent="0.35">
      <c r="A367" t="s">
        <v>399</v>
      </c>
      <c r="B367" s="5">
        <v>45680</v>
      </c>
      <c r="C367" s="2" t="str">
        <f t="shared" si="20"/>
        <v>January</v>
      </c>
      <c r="D367" s="2" t="str">
        <f t="shared" si="21"/>
        <v>2025</v>
      </c>
      <c r="E367" t="s">
        <v>17</v>
      </c>
      <c r="F367" t="s">
        <v>18</v>
      </c>
      <c r="G367" t="s">
        <v>21</v>
      </c>
      <c r="H367" t="s">
        <v>32</v>
      </c>
      <c r="I367">
        <v>2</v>
      </c>
      <c r="J367">
        <v>1500</v>
      </c>
      <c r="K367">
        <v>5</v>
      </c>
      <c r="L367">
        <v>3000</v>
      </c>
      <c r="M367" s="7">
        <v>2850</v>
      </c>
      <c r="N367" s="19">
        <f t="shared" si="22"/>
        <v>1700</v>
      </c>
      <c r="O367" t="str">
        <f t="shared" si="23"/>
        <v>Normal</v>
      </c>
      <c r="P367">
        <f>_xlfn.XLOOKUP(E367,Products_Master!B:B,Products_Master!D:D)</f>
        <v>2000</v>
      </c>
    </row>
    <row r="368" spans="1:16" x14ac:dyDescent="0.35">
      <c r="A368" t="s">
        <v>400</v>
      </c>
      <c r="B368" s="5">
        <v>45680</v>
      </c>
      <c r="C368" s="2" t="str">
        <f t="shared" si="20"/>
        <v>January</v>
      </c>
      <c r="D368" s="2" t="str">
        <f t="shared" si="21"/>
        <v>2025</v>
      </c>
      <c r="E368" t="s">
        <v>12</v>
      </c>
      <c r="F368" t="s">
        <v>18</v>
      </c>
      <c r="G368" t="s">
        <v>21</v>
      </c>
      <c r="H368" t="s">
        <v>40</v>
      </c>
      <c r="I368">
        <v>8</v>
      </c>
      <c r="J368">
        <v>45000</v>
      </c>
      <c r="K368">
        <v>5</v>
      </c>
      <c r="L368">
        <v>360000</v>
      </c>
      <c r="M368" s="7">
        <v>342000</v>
      </c>
      <c r="N368" s="19">
        <f t="shared" si="22"/>
        <v>2456000</v>
      </c>
      <c r="O368" t="str">
        <f t="shared" si="23"/>
        <v>Normal</v>
      </c>
      <c r="P368">
        <f>_xlfn.XLOOKUP(E368,Products_Master!B:B,Products_Master!D:D)</f>
        <v>35000</v>
      </c>
    </row>
    <row r="369" spans="1:16" x14ac:dyDescent="0.35">
      <c r="A369" t="s">
        <v>401</v>
      </c>
      <c r="B369" s="5">
        <v>45681</v>
      </c>
      <c r="C369" s="2" t="str">
        <f t="shared" si="20"/>
        <v>January</v>
      </c>
      <c r="D369" s="2" t="str">
        <f t="shared" si="21"/>
        <v>2025</v>
      </c>
      <c r="E369" t="s">
        <v>54</v>
      </c>
      <c r="F369" t="s">
        <v>18</v>
      </c>
      <c r="G369" t="s">
        <v>39</v>
      </c>
      <c r="H369" t="s">
        <v>32</v>
      </c>
      <c r="I369">
        <v>2</v>
      </c>
      <c r="J369">
        <v>120000</v>
      </c>
      <c r="K369">
        <v>0</v>
      </c>
      <c r="L369">
        <v>240000</v>
      </c>
      <c r="M369" s="7">
        <v>240000</v>
      </c>
      <c r="N369" s="19">
        <f t="shared" si="22"/>
        <v>340000</v>
      </c>
      <c r="O369" t="str">
        <f t="shared" si="23"/>
        <v>Normal</v>
      </c>
      <c r="P369">
        <f>_xlfn.XLOOKUP(E369,Products_Master!B:B,Products_Master!D:D)</f>
        <v>70000</v>
      </c>
    </row>
    <row r="370" spans="1:16" x14ac:dyDescent="0.35">
      <c r="A370" t="s">
        <v>402</v>
      </c>
      <c r="B370" s="5">
        <v>45681</v>
      </c>
      <c r="C370" s="2" t="str">
        <f t="shared" si="20"/>
        <v>January</v>
      </c>
      <c r="D370" s="2" t="str">
        <f t="shared" si="21"/>
        <v>2025</v>
      </c>
      <c r="E370" t="s">
        <v>36</v>
      </c>
      <c r="F370" t="s">
        <v>18</v>
      </c>
      <c r="G370" t="s">
        <v>24</v>
      </c>
      <c r="H370" t="s">
        <v>34</v>
      </c>
      <c r="I370">
        <v>4</v>
      </c>
      <c r="J370">
        <v>120000</v>
      </c>
      <c r="K370">
        <v>0</v>
      </c>
      <c r="L370">
        <v>480000</v>
      </c>
      <c r="M370" s="7">
        <v>480000</v>
      </c>
      <c r="N370" s="19">
        <f t="shared" si="22"/>
        <v>1916800</v>
      </c>
      <c r="O370" t="str">
        <f t="shared" si="23"/>
        <v>Normal</v>
      </c>
      <c r="P370">
        <f>_xlfn.XLOOKUP(E370,Products_Master!B:B,Products_Master!D:D)</f>
        <v>800</v>
      </c>
    </row>
    <row r="371" spans="1:16" x14ac:dyDescent="0.35">
      <c r="A371" t="s">
        <v>403</v>
      </c>
      <c r="B371" s="5">
        <v>45681</v>
      </c>
      <c r="C371" s="2" t="str">
        <f t="shared" si="20"/>
        <v>January</v>
      </c>
      <c r="D371" s="2" t="str">
        <f t="shared" si="21"/>
        <v>2025</v>
      </c>
      <c r="E371" t="s">
        <v>42</v>
      </c>
      <c r="F371" t="s">
        <v>18</v>
      </c>
      <c r="G371" t="s">
        <v>21</v>
      </c>
      <c r="H371" t="s">
        <v>15</v>
      </c>
      <c r="I371">
        <v>5</v>
      </c>
      <c r="J371">
        <v>45000</v>
      </c>
      <c r="K371">
        <v>15</v>
      </c>
      <c r="L371">
        <v>225000</v>
      </c>
      <c r="M371" s="7">
        <v>191250</v>
      </c>
      <c r="N371" s="19">
        <f t="shared" si="22"/>
        <v>953250</v>
      </c>
      <c r="O371" t="str">
        <f t="shared" si="23"/>
        <v>Normal</v>
      </c>
      <c r="P371">
        <f>_xlfn.XLOOKUP(E371,Products_Master!B:B,Products_Master!D:D)</f>
        <v>600</v>
      </c>
    </row>
    <row r="372" spans="1:16" x14ac:dyDescent="0.35">
      <c r="A372" t="s">
        <v>404</v>
      </c>
      <c r="B372" s="5">
        <v>45682</v>
      </c>
      <c r="C372" s="2" t="str">
        <f t="shared" si="20"/>
        <v>January</v>
      </c>
      <c r="D372" s="2" t="str">
        <f t="shared" si="21"/>
        <v>2025</v>
      </c>
      <c r="E372" t="s">
        <v>12</v>
      </c>
      <c r="F372" t="s">
        <v>18</v>
      </c>
      <c r="G372" t="s">
        <v>37</v>
      </c>
      <c r="H372" t="s">
        <v>25</v>
      </c>
      <c r="I372">
        <v>3</v>
      </c>
      <c r="J372">
        <v>120000</v>
      </c>
      <c r="K372">
        <v>0</v>
      </c>
      <c r="L372">
        <v>360000</v>
      </c>
      <c r="M372" s="7">
        <v>360000</v>
      </c>
      <c r="N372" s="19">
        <f t="shared" si="22"/>
        <v>975000</v>
      </c>
      <c r="O372" t="str">
        <f t="shared" si="23"/>
        <v>Normal</v>
      </c>
      <c r="P372">
        <f>_xlfn.XLOOKUP(E372,Products_Master!B:B,Products_Master!D:D)</f>
        <v>35000</v>
      </c>
    </row>
    <row r="373" spans="1:16" x14ac:dyDescent="0.35">
      <c r="A373" t="s">
        <v>405</v>
      </c>
      <c r="B373" s="5">
        <v>45683</v>
      </c>
      <c r="C373" s="2" t="str">
        <f t="shared" si="20"/>
        <v>January</v>
      </c>
      <c r="D373" s="2" t="str">
        <f t="shared" si="21"/>
        <v>2025</v>
      </c>
      <c r="E373" t="s">
        <v>12</v>
      </c>
      <c r="F373" t="s">
        <v>13</v>
      </c>
      <c r="G373" t="s">
        <v>21</v>
      </c>
      <c r="H373" t="s">
        <v>34</v>
      </c>
      <c r="I373">
        <v>9</v>
      </c>
      <c r="J373">
        <v>15000</v>
      </c>
      <c r="K373">
        <v>5</v>
      </c>
      <c r="L373">
        <v>135000</v>
      </c>
      <c r="M373" s="7">
        <v>128250</v>
      </c>
      <c r="N373" s="19">
        <f t="shared" si="22"/>
        <v>839250</v>
      </c>
      <c r="O373" t="str">
        <f t="shared" si="23"/>
        <v>Normal</v>
      </c>
      <c r="P373">
        <f>_xlfn.XLOOKUP(E373,Products_Master!B:B,Products_Master!D:D)</f>
        <v>35000</v>
      </c>
    </row>
    <row r="374" spans="1:16" x14ac:dyDescent="0.35">
      <c r="A374" t="s">
        <v>406</v>
      </c>
      <c r="B374" s="5">
        <v>45684</v>
      </c>
      <c r="C374" s="2" t="str">
        <f t="shared" si="20"/>
        <v>January</v>
      </c>
      <c r="D374" s="2" t="str">
        <f t="shared" si="21"/>
        <v>2025</v>
      </c>
      <c r="E374" t="s">
        <v>17</v>
      </c>
      <c r="F374" t="s">
        <v>18</v>
      </c>
      <c r="G374" t="s">
        <v>19</v>
      </c>
      <c r="H374" t="s">
        <v>40</v>
      </c>
      <c r="I374">
        <v>5</v>
      </c>
      <c r="J374">
        <v>2500</v>
      </c>
      <c r="K374">
        <v>0</v>
      </c>
      <c r="L374">
        <v>12500</v>
      </c>
      <c r="M374" s="7">
        <v>12500</v>
      </c>
      <c r="N374" s="19">
        <f t="shared" si="22"/>
        <v>52500</v>
      </c>
      <c r="O374" t="str">
        <f t="shared" si="23"/>
        <v>Normal</v>
      </c>
      <c r="P374">
        <f>_xlfn.XLOOKUP(E374,Products_Master!B:B,Products_Master!D:D)</f>
        <v>2000</v>
      </c>
    </row>
    <row r="375" spans="1:16" x14ac:dyDescent="0.35">
      <c r="A375" t="s">
        <v>407</v>
      </c>
      <c r="B375" s="5">
        <v>45685</v>
      </c>
      <c r="C375" s="2" t="str">
        <f t="shared" si="20"/>
        <v>January</v>
      </c>
      <c r="D375" s="2" t="str">
        <f t="shared" si="21"/>
        <v>2025</v>
      </c>
      <c r="E375" t="s">
        <v>31</v>
      </c>
      <c r="F375" t="s">
        <v>18</v>
      </c>
      <c r="G375" t="s">
        <v>19</v>
      </c>
      <c r="H375" t="s">
        <v>29</v>
      </c>
      <c r="I375">
        <v>4</v>
      </c>
      <c r="J375">
        <v>1500</v>
      </c>
      <c r="K375">
        <v>0</v>
      </c>
      <c r="L375">
        <v>6000</v>
      </c>
      <c r="M375" s="7">
        <v>6000</v>
      </c>
      <c r="N375" s="19">
        <f t="shared" si="22"/>
        <v>-36000</v>
      </c>
      <c r="O375" t="str">
        <f t="shared" si="23"/>
        <v>Normal</v>
      </c>
      <c r="P375">
        <f>_xlfn.XLOOKUP(E375,Products_Master!B:B,Products_Master!D:D)</f>
        <v>15000</v>
      </c>
    </row>
    <row r="376" spans="1:16" x14ac:dyDescent="0.35">
      <c r="A376" t="s">
        <v>408</v>
      </c>
      <c r="B376" s="5">
        <v>45686</v>
      </c>
      <c r="C376" s="2" t="str">
        <f t="shared" si="20"/>
        <v>January</v>
      </c>
      <c r="D376" s="2" t="str">
        <f t="shared" si="21"/>
        <v>2025</v>
      </c>
      <c r="E376" t="s">
        <v>12</v>
      </c>
      <c r="F376" t="s">
        <v>18</v>
      </c>
      <c r="G376" t="s">
        <v>19</v>
      </c>
      <c r="H376" t="s">
        <v>49</v>
      </c>
      <c r="I376">
        <v>1</v>
      </c>
      <c r="J376">
        <v>45000</v>
      </c>
      <c r="K376">
        <v>5</v>
      </c>
      <c r="L376">
        <v>45000</v>
      </c>
      <c r="M376" s="7">
        <v>42750</v>
      </c>
      <c r="N376" s="19">
        <f t="shared" si="22"/>
        <v>7750</v>
      </c>
      <c r="O376" t="str">
        <f t="shared" si="23"/>
        <v>Normal</v>
      </c>
      <c r="P376">
        <f>_xlfn.XLOOKUP(E376,Products_Master!B:B,Products_Master!D:D)</f>
        <v>35000</v>
      </c>
    </row>
    <row r="377" spans="1:16" x14ac:dyDescent="0.35">
      <c r="A377" t="s">
        <v>409</v>
      </c>
      <c r="B377" s="5">
        <v>45686</v>
      </c>
      <c r="C377" s="2" t="str">
        <f t="shared" si="20"/>
        <v>January</v>
      </c>
      <c r="D377" s="2" t="str">
        <f t="shared" si="21"/>
        <v>2025</v>
      </c>
      <c r="E377" t="s">
        <v>54</v>
      </c>
      <c r="F377" t="s">
        <v>18</v>
      </c>
      <c r="G377" t="s">
        <v>24</v>
      </c>
      <c r="H377" t="s">
        <v>40</v>
      </c>
      <c r="I377">
        <v>4</v>
      </c>
      <c r="J377">
        <v>2500</v>
      </c>
      <c r="K377">
        <v>15</v>
      </c>
      <c r="L377">
        <v>10000</v>
      </c>
      <c r="M377" s="7">
        <v>8500</v>
      </c>
      <c r="N377" s="19">
        <f t="shared" si="22"/>
        <v>-246000</v>
      </c>
      <c r="O377" t="str">
        <f t="shared" si="23"/>
        <v>Normal</v>
      </c>
      <c r="P377">
        <f>_xlfn.XLOOKUP(E377,Products_Master!B:B,Products_Master!D:D)</f>
        <v>70000</v>
      </c>
    </row>
    <row r="378" spans="1:16" x14ac:dyDescent="0.35">
      <c r="A378" t="s">
        <v>410</v>
      </c>
      <c r="B378" s="5">
        <v>45690</v>
      </c>
      <c r="C378" s="2" t="str">
        <f t="shared" si="20"/>
        <v>February</v>
      </c>
      <c r="D378" s="2" t="str">
        <f t="shared" si="21"/>
        <v>2025</v>
      </c>
      <c r="E378" t="s">
        <v>54</v>
      </c>
      <c r="F378" t="s">
        <v>18</v>
      </c>
      <c r="G378" t="s">
        <v>21</v>
      </c>
      <c r="H378" t="s">
        <v>15</v>
      </c>
      <c r="I378">
        <v>8</v>
      </c>
      <c r="J378">
        <v>2500</v>
      </c>
      <c r="K378">
        <v>0</v>
      </c>
      <c r="L378">
        <v>20000</v>
      </c>
      <c r="M378" s="7">
        <v>20000</v>
      </c>
      <c r="N378" s="19">
        <f t="shared" si="22"/>
        <v>-400000</v>
      </c>
      <c r="O378" t="str">
        <f t="shared" si="23"/>
        <v>Normal</v>
      </c>
      <c r="P378">
        <f>_xlfn.XLOOKUP(E378,Products_Master!B:B,Products_Master!D:D)</f>
        <v>70000</v>
      </c>
    </row>
    <row r="379" spans="1:16" x14ac:dyDescent="0.35">
      <c r="A379" t="s">
        <v>411</v>
      </c>
      <c r="B379" s="5">
        <v>45691</v>
      </c>
      <c r="C379" s="2" t="str">
        <f t="shared" si="20"/>
        <v>February</v>
      </c>
      <c r="D379" s="2" t="str">
        <f t="shared" si="21"/>
        <v>2025</v>
      </c>
      <c r="E379" t="s">
        <v>42</v>
      </c>
      <c r="F379" t="s">
        <v>18</v>
      </c>
      <c r="G379" t="s">
        <v>24</v>
      </c>
      <c r="H379" t="s">
        <v>34</v>
      </c>
      <c r="I379">
        <v>7</v>
      </c>
      <c r="J379">
        <v>85000</v>
      </c>
      <c r="K379">
        <v>0</v>
      </c>
      <c r="L379">
        <v>595000</v>
      </c>
      <c r="M379" s="7">
        <v>595000</v>
      </c>
      <c r="N379" s="19">
        <f t="shared" si="22"/>
        <v>4160800</v>
      </c>
      <c r="O379" t="str">
        <f t="shared" si="23"/>
        <v>Normal</v>
      </c>
      <c r="P379">
        <f>_xlfn.XLOOKUP(E379,Products_Master!B:B,Products_Master!D:D)</f>
        <v>600</v>
      </c>
    </row>
    <row r="380" spans="1:16" x14ac:dyDescent="0.35">
      <c r="A380" t="s">
        <v>412</v>
      </c>
      <c r="B380" s="5">
        <v>45691</v>
      </c>
      <c r="C380" s="2" t="str">
        <f t="shared" si="20"/>
        <v>February</v>
      </c>
      <c r="D380" s="2" t="str">
        <f t="shared" si="21"/>
        <v>2025</v>
      </c>
      <c r="E380" t="s">
        <v>17</v>
      </c>
      <c r="F380" t="s">
        <v>13</v>
      </c>
      <c r="G380" t="s">
        <v>37</v>
      </c>
      <c r="H380" t="s">
        <v>25</v>
      </c>
      <c r="I380">
        <v>4</v>
      </c>
      <c r="J380">
        <v>120000</v>
      </c>
      <c r="K380">
        <v>10</v>
      </c>
      <c r="L380">
        <v>480000</v>
      </c>
      <c r="M380" s="7">
        <v>432000</v>
      </c>
      <c r="N380" s="19">
        <f t="shared" si="22"/>
        <v>1720000</v>
      </c>
      <c r="O380" t="str">
        <f t="shared" si="23"/>
        <v>Normal</v>
      </c>
      <c r="P380">
        <f>_xlfn.XLOOKUP(E380,Products_Master!B:B,Products_Master!D:D)</f>
        <v>2000</v>
      </c>
    </row>
    <row r="381" spans="1:16" x14ac:dyDescent="0.35">
      <c r="A381" t="s">
        <v>413</v>
      </c>
      <c r="B381" s="5">
        <v>45697</v>
      </c>
      <c r="C381" s="2" t="str">
        <f t="shared" si="20"/>
        <v>February</v>
      </c>
      <c r="D381" s="2" t="str">
        <f t="shared" si="21"/>
        <v>2025</v>
      </c>
      <c r="E381" t="s">
        <v>27</v>
      </c>
      <c r="F381" t="s">
        <v>18</v>
      </c>
      <c r="G381" t="s">
        <v>21</v>
      </c>
      <c r="H381" t="s">
        <v>32</v>
      </c>
      <c r="I381">
        <v>4</v>
      </c>
      <c r="J381">
        <v>2500</v>
      </c>
      <c r="K381">
        <v>10</v>
      </c>
      <c r="L381">
        <v>10000</v>
      </c>
      <c r="M381" s="7">
        <v>9000</v>
      </c>
      <c r="N381" s="19">
        <f t="shared" si="22"/>
        <v>32400</v>
      </c>
      <c r="O381" t="str">
        <f t="shared" si="23"/>
        <v>Normal</v>
      </c>
      <c r="P381">
        <f>_xlfn.XLOOKUP(E381,Products_Master!B:B,Products_Master!D:D)</f>
        <v>900</v>
      </c>
    </row>
    <row r="382" spans="1:16" x14ac:dyDescent="0.35">
      <c r="A382" t="s">
        <v>414</v>
      </c>
      <c r="B382" s="5">
        <v>45697</v>
      </c>
      <c r="C382" s="2" t="str">
        <f t="shared" si="20"/>
        <v>February</v>
      </c>
      <c r="D382" s="2" t="str">
        <f t="shared" si="21"/>
        <v>2025</v>
      </c>
      <c r="E382" t="s">
        <v>54</v>
      </c>
      <c r="F382" t="s">
        <v>18</v>
      </c>
      <c r="G382" t="s">
        <v>19</v>
      </c>
      <c r="H382" t="s">
        <v>49</v>
      </c>
      <c r="I382">
        <v>2</v>
      </c>
      <c r="J382">
        <v>2500</v>
      </c>
      <c r="K382">
        <v>0</v>
      </c>
      <c r="L382">
        <v>5000</v>
      </c>
      <c r="M382" s="7">
        <v>5000</v>
      </c>
      <c r="N382" s="19">
        <f t="shared" si="22"/>
        <v>-130000</v>
      </c>
      <c r="O382" t="str">
        <f t="shared" si="23"/>
        <v>Normal</v>
      </c>
      <c r="P382">
        <f>_xlfn.XLOOKUP(E382,Products_Master!B:B,Products_Master!D:D)</f>
        <v>70000</v>
      </c>
    </row>
    <row r="383" spans="1:16" x14ac:dyDescent="0.35">
      <c r="A383" t="s">
        <v>415</v>
      </c>
      <c r="B383" s="5">
        <v>45700</v>
      </c>
      <c r="C383" s="2" t="str">
        <f t="shared" si="20"/>
        <v>February</v>
      </c>
      <c r="D383" s="2" t="str">
        <f t="shared" si="21"/>
        <v>2025</v>
      </c>
      <c r="E383" t="s">
        <v>17</v>
      </c>
      <c r="F383" t="s">
        <v>18</v>
      </c>
      <c r="G383" t="s">
        <v>19</v>
      </c>
      <c r="H383" t="s">
        <v>25</v>
      </c>
      <c r="I383">
        <v>2</v>
      </c>
      <c r="J383">
        <v>85000</v>
      </c>
      <c r="K383">
        <v>10</v>
      </c>
      <c r="L383">
        <v>170000</v>
      </c>
      <c r="M383" s="7">
        <v>153000</v>
      </c>
      <c r="N383" s="19">
        <f t="shared" si="22"/>
        <v>302000</v>
      </c>
      <c r="O383" t="str">
        <f t="shared" si="23"/>
        <v>Normal</v>
      </c>
      <c r="P383">
        <f>_xlfn.XLOOKUP(E383,Products_Master!B:B,Products_Master!D:D)</f>
        <v>2000</v>
      </c>
    </row>
    <row r="384" spans="1:16" x14ac:dyDescent="0.35">
      <c r="A384" t="s">
        <v>416</v>
      </c>
      <c r="B384" s="5">
        <v>45700</v>
      </c>
      <c r="C384" s="2" t="str">
        <f t="shared" si="20"/>
        <v>February</v>
      </c>
      <c r="D384" s="2" t="str">
        <f t="shared" si="21"/>
        <v>2025</v>
      </c>
      <c r="E384" t="s">
        <v>27</v>
      </c>
      <c r="F384" t="s">
        <v>13</v>
      </c>
      <c r="G384" t="s">
        <v>39</v>
      </c>
      <c r="H384" t="s">
        <v>34</v>
      </c>
      <c r="I384">
        <v>7</v>
      </c>
      <c r="J384">
        <v>15000</v>
      </c>
      <c r="K384">
        <v>10</v>
      </c>
      <c r="L384">
        <v>105000</v>
      </c>
      <c r="M384" s="7">
        <v>94500</v>
      </c>
      <c r="N384" s="19">
        <f t="shared" si="22"/>
        <v>655200</v>
      </c>
      <c r="O384" t="str">
        <f t="shared" si="23"/>
        <v>Normal</v>
      </c>
      <c r="P384">
        <f>_xlfn.XLOOKUP(E384,Products_Master!B:B,Products_Master!D:D)</f>
        <v>900</v>
      </c>
    </row>
    <row r="385" spans="1:16" x14ac:dyDescent="0.35">
      <c r="A385" t="s">
        <v>417</v>
      </c>
      <c r="B385" s="5">
        <v>45700</v>
      </c>
      <c r="C385" s="2" t="str">
        <f t="shared" si="20"/>
        <v>February</v>
      </c>
      <c r="D385" s="2" t="str">
        <f t="shared" si="21"/>
        <v>2025</v>
      </c>
      <c r="E385" t="s">
        <v>23</v>
      </c>
      <c r="F385" t="s">
        <v>13</v>
      </c>
      <c r="G385" t="s">
        <v>37</v>
      </c>
      <c r="H385" t="s">
        <v>25</v>
      </c>
      <c r="I385">
        <v>6</v>
      </c>
      <c r="J385">
        <v>2500</v>
      </c>
      <c r="K385">
        <v>10</v>
      </c>
      <c r="L385">
        <v>15000</v>
      </c>
      <c r="M385" s="7">
        <v>13500</v>
      </c>
      <c r="N385" s="19">
        <f t="shared" si="22"/>
        <v>-27000</v>
      </c>
      <c r="O385" t="str">
        <f t="shared" si="23"/>
        <v>Normal</v>
      </c>
      <c r="P385">
        <f>_xlfn.XLOOKUP(E385,Products_Master!B:B,Products_Master!D:D)</f>
        <v>18000</v>
      </c>
    </row>
    <row r="386" spans="1:16" x14ac:dyDescent="0.35">
      <c r="A386" t="s">
        <v>418</v>
      </c>
      <c r="B386" s="5">
        <v>45701</v>
      </c>
      <c r="C386" s="2" t="str">
        <f t="shared" si="20"/>
        <v>February</v>
      </c>
      <c r="D386" s="2" t="str">
        <f t="shared" si="21"/>
        <v>2025</v>
      </c>
      <c r="E386" t="s">
        <v>54</v>
      </c>
      <c r="F386" t="s">
        <v>18</v>
      </c>
      <c r="G386" t="s">
        <v>19</v>
      </c>
      <c r="H386" t="s">
        <v>32</v>
      </c>
      <c r="I386">
        <v>6</v>
      </c>
      <c r="J386">
        <v>85000</v>
      </c>
      <c r="K386">
        <v>0</v>
      </c>
      <c r="L386">
        <v>510000</v>
      </c>
      <c r="M386" s="7">
        <v>510000</v>
      </c>
      <c r="N386" s="19">
        <f t="shared" si="22"/>
        <v>2640000</v>
      </c>
      <c r="O386" t="str">
        <f t="shared" si="23"/>
        <v>Normal</v>
      </c>
      <c r="P386">
        <f>_xlfn.XLOOKUP(E386,Products_Master!B:B,Products_Master!D:D)</f>
        <v>70000</v>
      </c>
    </row>
    <row r="387" spans="1:16" x14ac:dyDescent="0.35">
      <c r="A387" t="s">
        <v>419</v>
      </c>
      <c r="B387" s="5">
        <v>45701</v>
      </c>
      <c r="C387" s="2" t="str">
        <f t="shared" ref="C387:C450" si="24">TEXT(B387,"MMMM")</f>
        <v>February</v>
      </c>
      <c r="D387" s="2" t="str">
        <f t="shared" ref="D387:D450" si="25">TEXT(B387,"yyy")</f>
        <v>2025</v>
      </c>
      <c r="E387" t="s">
        <v>27</v>
      </c>
      <c r="F387" t="s">
        <v>18</v>
      </c>
      <c r="G387" t="s">
        <v>19</v>
      </c>
      <c r="H387" t="s">
        <v>29</v>
      </c>
      <c r="I387">
        <v>6</v>
      </c>
      <c r="J387">
        <v>2500</v>
      </c>
      <c r="K387">
        <v>5</v>
      </c>
      <c r="L387">
        <v>15000</v>
      </c>
      <c r="M387" s="7">
        <v>14250</v>
      </c>
      <c r="N387" s="19">
        <f t="shared" ref="N387:N450" si="26">(M387-P387)*I387</f>
        <v>80100</v>
      </c>
      <c r="O387" t="str">
        <f t="shared" ref="O387:O450" si="27">IF(K387=15%,"Very High ",IF(K387=10%,"High Discount","Normal"))</f>
        <v>Normal</v>
      </c>
      <c r="P387">
        <f>_xlfn.XLOOKUP(E387,Products_Master!B:B,Products_Master!D:D)</f>
        <v>900</v>
      </c>
    </row>
    <row r="388" spans="1:16" x14ac:dyDescent="0.35">
      <c r="A388" t="s">
        <v>420</v>
      </c>
      <c r="B388" s="5">
        <v>45702</v>
      </c>
      <c r="C388" s="2" t="str">
        <f t="shared" si="24"/>
        <v>February</v>
      </c>
      <c r="D388" s="2" t="str">
        <f t="shared" si="25"/>
        <v>2025</v>
      </c>
      <c r="E388" t="s">
        <v>12</v>
      </c>
      <c r="F388" t="s">
        <v>18</v>
      </c>
      <c r="G388" t="s">
        <v>14</v>
      </c>
      <c r="H388" t="s">
        <v>29</v>
      </c>
      <c r="I388">
        <v>2</v>
      </c>
      <c r="J388">
        <v>45000</v>
      </c>
      <c r="K388">
        <v>5</v>
      </c>
      <c r="L388">
        <v>90000</v>
      </c>
      <c r="M388" s="7">
        <v>85500</v>
      </c>
      <c r="N388" s="19">
        <f t="shared" si="26"/>
        <v>101000</v>
      </c>
      <c r="O388" t="str">
        <f t="shared" si="27"/>
        <v>Normal</v>
      </c>
      <c r="P388">
        <f>_xlfn.XLOOKUP(E388,Products_Master!B:B,Products_Master!D:D)</f>
        <v>35000</v>
      </c>
    </row>
    <row r="389" spans="1:16" x14ac:dyDescent="0.35">
      <c r="A389" t="s">
        <v>421</v>
      </c>
      <c r="B389" s="5">
        <v>45702</v>
      </c>
      <c r="C389" s="2" t="str">
        <f t="shared" si="24"/>
        <v>February</v>
      </c>
      <c r="D389" s="2" t="str">
        <f t="shared" si="25"/>
        <v>2025</v>
      </c>
      <c r="E389" t="s">
        <v>36</v>
      </c>
      <c r="F389" t="s">
        <v>18</v>
      </c>
      <c r="G389" t="s">
        <v>19</v>
      </c>
      <c r="H389" t="s">
        <v>15</v>
      </c>
      <c r="I389">
        <v>6</v>
      </c>
      <c r="J389">
        <v>45000</v>
      </c>
      <c r="K389">
        <v>0</v>
      </c>
      <c r="L389">
        <v>270000</v>
      </c>
      <c r="M389" s="7">
        <v>270000</v>
      </c>
      <c r="N389" s="19">
        <f t="shared" si="26"/>
        <v>1615200</v>
      </c>
      <c r="O389" t="str">
        <f t="shared" si="27"/>
        <v>Normal</v>
      </c>
      <c r="P389">
        <f>_xlfn.XLOOKUP(E389,Products_Master!B:B,Products_Master!D:D)</f>
        <v>800</v>
      </c>
    </row>
    <row r="390" spans="1:16" x14ac:dyDescent="0.35">
      <c r="A390" t="s">
        <v>422</v>
      </c>
      <c r="B390" s="5">
        <v>45704</v>
      </c>
      <c r="C390" s="2" t="str">
        <f t="shared" si="24"/>
        <v>February</v>
      </c>
      <c r="D390" s="2" t="str">
        <f t="shared" si="25"/>
        <v>2025</v>
      </c>
      <c r="E390" t="s">
        <v>54</v>
      </c>
      <c r="F390" t="s">
        <v>13</v>
      </c>
      <c r="G390" t="s">
        <v>37</v>
      </c>
      <c r="H390" t="s">
        <v>34</v>
      </c>
      <c r="I390">
        <v>2</v>
      </c>
      <c r="J390">
        <v>120000</v>
      </c>
      <c r="K390">
        <v>10</v>
      </c>
      <c r="L390">
        <v>240000</v>
      </c>
      <c r="M390" s="7">
        <v>216000</v>
      </c>
      <c r="N390" s="19">
        <f t="shared" si="26"/>
        <v>292000</v>
      </c>
      <c r="O390" t="str">
        <f t="shared" si="27"/>
        <v>Normal</v>
      </c>
      <c r="P390">
        <f>_xlfn.XLOOKUP(E390,Products_Master!B:B,Products_Master!D:D)</f>
        <v>70000</v>
      </c>
    </row>
    <row r="391" spans="1:16" x14ac:dyDescent="0.35">
      <c r="A391" t="s">
        <v>423</v>
      </c>
      <c r="B391" s="5">
        <v>45704</v>
      </c>
      <c r="C391" s="2" t="str">
        <f t="shared" si="24"/>
        <v>February</v>
      </c>
      <c r="D391" s="2" t="str">
        <f t="shared" si="25"/>
        <v>2025</v>
      </c>
      <c r="E391" t="s">
        <v>31</v>
      </c>
      <c r="F391" t="s">
        <v>18</v>
      </c>
      <c r="G391" t="s">
        <v>19</v>
      </c>
      <c r="H391" t="s">
        <v>34</v>
      </c>
      <c r="I391">
        <v>6</v>
      </c>
      <c r="J391">
        <v>15000</v>
      </c>
      <c r="K391">
        <v>15</v>
      </c>
      <c r="L391">
        <v>90000</v>
      </c>
      <c r="M391" s="7">
        <v>76500</v>
      </c>
      <c r="N391" s="19">
        <f t="shared" si="26"/>
        <v>369000</v>
      </c>
      <c r="O391" t="str">
        <f t="shared" si="27"/>
        <v>Normal</v>
      </c>
      <c r="P391">
        <f>_xlfn.XLOOKUP(E391,Products_Master!B:B,Products_Master!D:D)</f>
        <v>15000</v>
      </c>
    </row>
    <row r="392" spans="1:16" x14ac:dyDescent="0.35">
      <c r="A392" t="s">
        <v>424</v>
      </c>
      <c r="B392" s="5">
        <v>45705</v>
      </c>
      <c r="C392" s="2" t="str">
        <f t="shared" si="24"/>
        <v>February</v>
      </c>
      <c r="D392" s="2" t="str">
        <f t="shared" si="25"/>
        <v>2025</v>
      </c>
      <c r="E392" t="s">
        <v>54</v>
      </c>
      <c r="F392" t="s">
        <v>13</v>
      </c>
      <c r="G392" t="s">
        <v>39</v>
      </c>
      <c r="H392" t="s">
        <v>40</v>
      </c>
      <c r="I392">
        <v>5</v>
      </c>
      <c r="J392">
        <v>8000</v>
      </c>
      <c r="K392">
        <v>0</v>
      </c>
      <c r="L392">
        <v>40000</v>
      </c>
      <c r="M392" s="7">
        <v>40000</v>
      </c>
      <c r="N392" s="19">
        <f t="shared" si="26"/>
        <v>-150000</v>
      </c>
      <c r="O392" t="str">
        <f t="shared" si="27"/>
        <v>Normal</v>
      </c>
      <c r="P392">
        <f>_xlfn.XLOOKUP(E392,Products_Master!B:B,Products_Master!D:D)</f>
        <v>70000</v>
      </c>
    </row>
    <row r="393" spans="1:16" x14ac:dyDescent="0.35">
      <c r="A393" t="s">
        <v>425</v>
      </c>
      <c r="B393" s="5">
        <v>45707</v>
      </c>
      <c r="C393" s="2" t="str">
        <f t="shared" si="24"/>
        <v>February</v>
      </c>
      <c r="D393" s="2" t="str">
        <f t="shared" si="25"/>
        <v>2025</v>
      </c>
      <c r="E393" t="s">
        <v>31</v>
      </c>
      <c r="F393" t="s">
        <v>13</v>
      </c>
      <c r="G393" t="s">
        <v>14</v>
      </c>
      <c r="H393" t="s">
        <v>25</v>
      </c>
      <c r="I393">
        <v>7</v>
      </c>
      <c r="J393">
        <v>1500</v>
      </c>
      <c r="K393">
        <v>0</v>
      </c>
      <c r="L393">
        <v>10500</v>
      </c>
      <c r="M393" s="7">
        <v>10500</v>
      </c>
      <c r="N393" s="19">
        <f t="shared" si="26"/>
        <v>-31500</v>
      </c>
      <c r="O393" t="str">
        <f t="shared" si="27"/>
        <v>Normal</v>
      </c>
      <c r="P393">
        <f>_xlfn.XLOOKUP(E393,Products_Master!B:B,Products_Master!D:D)</f>
        <v>15000</v>
      </c>
    </row>
    <row r="394" spans="1:16" x14ac:dyDescent="0.35">
      <c r="A394" t="s">
        <v>426</v>
      </c>
      <c r="B394" s="5">
        <v>45708</v>
      </c>
      <c r="C394" s="2" t="str">
        <f t="shared" si="24"/>
        <v>February</v>
      </c>
      <c r="D394" s="2" t="str">
        <f t="shared" si="25"/>
        <v>2025</v>
      </c>
      <c r="E394" t="s">
        <v>31</v>
      </c>
      <c r="F394" t="s">
        <v>18</v>
      </c>
      <c r="G394" t="s">
        <v>19</v>
      </c>
      <c r="H394" t="s">
        <v>29</v>
      </c>
      <c r="I394">
        <v>7</v>
      </c>
      <c r="J394">
        <v>45000</v>
      </c>
      <c r="K394">
        <v>5</v>
      </c>
      <c r="L394">
        <v>315000</v>
      </c>
      <c r="M394" s="7">
        <v>299250</v>
      </c>
      <c r="N394" s="19">
        <f t="shared" si="26"/>
        <v>1989750</v>
      </c>
      <c r="O394" t="str">
        <f t="shared" si="27"/>
        <v>Normal</v>
      </c>
      <c r="P394">
        <f>_xlfn.XLOOKUP(E394,Products_Master!B:B,Products_Master!D:D)</f>
        <v>15000</v>
      </c>
    </row>
    <row r="395" spans="1:16" x14ac:dyDescent="0.35">
      <c r="A395" t="s">
        <v>427</v>
      </c>
      <c r="B395" s="5">
        <v>45708</v>
      </c>
      <c r="C395" s="2" t="str">
        <f t="shared" si="24"/>
        <v>February</v>
      </c>
      <c r="D395" s="2" t="str">
        <f t="shared" si="25"/>
        <v>2025</v>
      </c>
      <c r="E395" t="s">
        <v>27</v>
      </c>
      <c r="F395" t="s">
        <v>18</v>
      </c>
      <c r="G395" t="s">
        <v>14</v>
      </c>
      <c r="H395" t="s">
        <v>34</v>
      </c>
      <c r="I395">
        <v>6</v>
      </c>
      <c r="J395">
        <v>1500</v>
      </c>
      <c r="K395">
        <v>0</v>
      </c>
      <c r="L395">
        <v>9000</v>
      </c>
      <c r="M395" s="7">
        <v>9000</v>
      </c>
      <c r="N395" s="19">
        <f t="shared" si="26"/>
        <v>48600</v>
      </c>
      <c r="O395" t="str">
        <f t="shared" si="27"/>
        <v>Normal</v>
      </c>
      <c r="P395">
        <f>_xlfn.XLOOKUP(E395,Products_Master!B:B,Products_Master!D:D)</f>
        <v>900</v>
      </c>
    </row>
    <row r="396" spans="1:16" x14ac:dyDescent="0.35">
      <c r="A396" t="s">
        <v>428</v>
      </c>
      <c r="B396" s="5">
        <v>45708</v>
      </c>
      <c r="C396" s="2" t="str">
        <f t="shared" si="24"/>
        <v>February</v>
      </c>
      <c r="D396" s="2" t="str">
        <f t="shared" si="25"/>
        <v>2025</v>
      </c>
      <c r="E396" t="s">
        <v>36</v>
      </c>
      <c r="F396" t="s">
        <v>18</v>
      </c>
      <c r="G396" t="s">
        <v>21</v>
      </c>
      <c r="H396" t="s">
        <v>32</v>
      </c>
      <c r="I396">
        <v>1</v>
      </c>
      <c r="J396">
        <v>45000</v>
      </c>
      <c r="K396">
        <v>0</v>
      </c>
      <c r="L396">
        <v>45000</v>
      </c>
      <c r="M396" s="7">
        <v>45000</v>
      </c>
      <c r="N396" s="19">
        <f t="shared" si="26"/>
        <v>44200</v>
      </c>
      <c r="O396" t="str">
        <f t="shared" si="27"/>
        <v>Normal</v>
      </c>
      <c r="P396">
        <f>_xlfn.XLOOKUP(E396,Products_Master!B:B,Products_Master!D:D)</f>
        <v>800</v>
      </c>
    </row>
    <row r="397" spans="1:16" x14ac:dyDescent="0.35">
      <c r="A397" t="s">
        <v>429</v>
      </c>
      <c r="B397" s="5">
        <v>45709</v>
      </c>
      <c r="C397" s="2" t="str">
        <f t="shared" si="24"/>
        <v>February</v>
      </c>
      <c r="D397" s="2" t="str">
        <f t="shared" si="25"/>
        <v>2025</v>
      </c>
      <c r="E397" t="s">
        <v>42</v>
      </c>
      <c r="F397" t="s">
        <v>18</v>
      </c>
      <c r="G397" t="s">
        <v>24</v>
      </c>
      <c r="H397" t="s">
        <v>29</v>
      </c>
      <c r="I397">
        <v>9</v>
      </c>
      <c r="J397">
        <v>45000</v>
      </c>
      <c r="K397">
        <v>10</v>
      </c>
      <c r="L397">
        <v>405000</v>
      </c>
      <c r="M397" s="7">
        <v>364500</v>
      </c>
      <c r="N397" s="19">
        <f t="shared" si="26"/>
        <v>3275100</v>
      </c>
      <c r="O397" t="str">
        <f t="shared" si="27"/>
        <v>Normal</v>
      </c>
      <c r="P397">
        <f>_xlfn.XLOOKUP(E397,Products_Master!B:B,Products_Master!D:D)</f>
        <v>600</v>
      </c>
    </row>
    <row r="398" spans="1:16" x14ac:dyDescent="0.35">
      <c r="A398" t="s">
        <v>430</v>
      </c>
      <c r="B398" s="5">
        <v>45710</v>
      </c>
      <c r="C398" s="2" t="str">
        <f t="shared" si="24"/>
        <v>February</v>
      </c>
      <c r="D398" s="2" t="str">
        <f t="shared" si="25"/>
        <v>2025</v>
      </c>
      <c r="E398" t="s">
        <v>23</v>
      </c>
      <c r="F398" t="s">
        <v>18</v>
      </c>
      <c r="G398" t="s">
        <v>14</v>
      </c>
      <c r="H398" t="s">
        <v>15</v>
      </c>
      <c r="I398">
        <v>4</v>
      </c>
      <c r="J398">
        <v>8000</v>
      </c>
      <c r="K398">
        <v>0</v>
      </c>
      <c r="L398">
        <v>32000</v>
      </c>
      <c r="M398" s="7">
        <v>32000</v>
      </c>
      <c r="N398" s="19">
        <f t="shared" si="26"/>
        <v>56000</v>
      </c>
      <c r="O398" t="str">
        <f t="shared" si="27"/>
        <v>Normal</v>
      </c>
      <c r="P398">
        <f>_xlfn.XLOOKUP(E398,Products_Master!B:B,Products_Master!D:D)</f>
        <v>18000</v>
      </c>
    </row>
    <row r="399" spans="1:16" x14ac:dyDescent="0.35">
      <c r="A399" t="s">
        <v>431</v>
      </c>
      <c r="B399" s="5">
        <v>45712</v>
      </c>
      <c r="C399" s="2" t="str">
        <f t="shared" si="24"/>
        <v>February</v>
      </c>
      <c r="D399" s="2" t="str">
        <f t="shared" si="25"/>
        <v>2025</v>
      </c>
      <c r="E399" t="s">
        <v>27</v>
      </c>
      <c r="F399" t="s">
        <v>13</v>
      </c>
      <c r="G399" t="s">
        <v>21</v>
      </c>
      <c r="H399" t="s">
        <v>15</v>
      </c>
      <c r="I399">
        <v>6</v>
      </c>
      <c r="J399">
        <v>8000</v>
      </c>
      <c r="K399">
        <v>5</v>
      </c>
      <c r="L399">
        <v>48000</v>
      </c>
      <c r="M399" s="7">
        <v>45600</v>
      </c>
      <c r="N399" s="19">
        <f t="shared" si="26"/>
        <v>268200</v>
      </c>
      <c r="O399" t="str">
        <f t="shared" si="27"/>
        <v>Normal</v>
      </c>
      <c r="P399">
        <f>_xlfn.XLOOKUP(E399,Products_Master!B:B,Products_Master!D:D)</f>
        <v>900</v>
      </c>
    </row>
    <row r="400" spans="1:16" x14ac:dyDescent="0.35">
      <c r="A400" t="s">
        <v>432</v>
      </c>
      <c r="B400" s="5">
        <v>45713</v>
      </c>
      <c r="C400" s="2" t="str">
        <f t="shared" si="24"/>
        <v>February</v>
      </c>
      <c r="D400" s="2" t="str">
        <f t="shared" si="25"/>
        <v>2025</v>
      </c>
      <c r="E400" t="s">
        <v>17</v>
      </c>
      <c r="F400" t="s">
        <v>18</v>
      </c>
      <c r="G400" t="s">
        <v>21</v>
      </c>
      <c r="H400" t="s">
        <v>29</v>
      </c>
      <c r="I400">
        <v>4</v>
      </c>
      <c r="J400">
        <v>45000</v>
      </c>
      <c r="K400">
        <v>5</v>
      </c>
      <c r="L400">
        <v>180000</v>
      </c>
      <c r="M400" s="7">
        <v>171000</v>
      </c>
      <c r="N400" s="19">
        <f t="shared" si="26"/>
        <v>676000</v>
      </c>
      <c r="O400" t="str">
        <f t="shared" si="27"/>
        <v>Normal</v>
      </c>
      <c r="P400">
        <f>_xlfn.XLOOKUP(E400,Products_Master!B:B,Products_Master!D:D)</f>
        <v>2000</v>
      </c>
    </row>
    <row r="401" spans="1:16" x14ac:dyDescent="0.35">
      <c r="A401" t="s">
        <v>433</v>
      </c>
      <c r="B401" s="5">
        <v>45714</v>
      </c>
      <c r="C401" s="2" t="str">
        <f t="shared" si="24"/>
        <v>February</v>
      </c>
      <c r="D401" s="2" t="str">
        <f t="shared" si="25"/>
        <v>2025</v>
      </c>
      <c r="E401" t="s">
        <v>42</v>
      </c>
      <c r="F401" t="s">
        <v>13</v>
      </c>
      <c r="G401" t="s">
        <v>14</v>
      </c>
      <c r="H401" t="s">
        <v>40</v>
      </c>
      <c r="I401">
        <v>5</v>
      </c>
      <c r="J401">
        <v>45000</v>
      </c>
      <c r="K401">
        <v>5</v>
      </c>
      <c r="L401">
        <v>225000</v>
      </c>
      <c r="M401" s="7">
        <v>213750</v>
      </c>
      <c r="N401" s="19">
        <f t="shared" si="26"/>
        <v>1065750</v>
      </c>
      <c r="O401" t="str">
        <f t="shared" si="27"/>
        <v>Normal</v>
      </c>
      <c r="P401">
        <f>_xlfn.XLOOKUP(E401,Products_Master!B:B,Products_Master!D:D)</f>
        <v>600</v>
      </c>
    </row>
    <row r="402" spans="1:16" x14ac:dyDescent="0.35">
      <c r="A402" t="s">
        <v>434</v>
      </c>
      <c r="B402" s="5">
        <v>45716</v>
      </c>
      <c r="C402" s="2" t="str">
        <f t="shared" si="24"/>
        <v>February</v>
      </c>
      <c r="D402" s="2" t="str">
        <f t="shared" si="25"/>
        <v>2025</v>
      </c>
      <c r="E402" t="s">
        <v>36</v>
      </c>
      <c r="F402" t="s">
        <v>18</v>
      </c>
      <c r="G402" t="s">
        <v>39</v>
      </c>
      <c r="H402" t="s">
        <v>29</v>
      </c>
      <c r="I402">
        <v>8</v>
      </c>
      <c r="J402">
        <v>15000</v>
      </c>
      <c r="K402">
        <v>0</v>
      </c>
      <c r="L402">
        <v>120000</v>
      </c>
      <c r="M402" s="7">
        <v>120000</v>
      </c>
      <c r="N402" s="19">
        <f t="shared" si="26"/>
        <v>953600</v>
      </c>
      <c r="O402" t="str">
        <f t="shared" si="27"/>
        <v>Normal</v>
      </c>
      <c r="P402">
        <f>_xlfn.XLOOKUP(E402,Products_Master!B:B,Products_Master!D:D)</f>
        <v>800</v>
      </c>
    </row>
    <row r="403" spans="1:16" x14ac:dyDescent="0.35">
      <c r="A403" t="s">
        <v>435</v>
      </c>
      <c r="B403" s="5">
        <v>45716</v>
      </c>
      <c r="C403" s="2" t="str">
        <f t="shared" si="24"/>
        <v>February</v>
      </c>
      <c r="D403" s="2" t="str">
        <f t="shared" si="25"/>
        <v>2025</v>
      </c>
      <c r="E403" t="s">
        <v>17</v>
      </c>
      <c r="F403" t="s">
        <v>18</v>
      </c>
      <c r="G403" t="s">
        <v>14</v>
      </c>
      <c r="H403" t="s">
        <v>15</v>
      </c>
      <c r="I403">
        <v>2</v>
      </c>
      <c r="J403">
        <v>1500</v>
      </c>
      <c r="K403">
        <v>0</v>
      </c>
      <c r="L403">
        <v>3000</v>
      </c>
      <c r="M403" s="7">
        <v>3000</v>
      </c>
      <c r="N403" s="19">
        <f t="shared" si="26"/>
        <v>2000</v>
      </c>
      <c r="O403" t="str">
        <f t="shared" si="27"/>
        <v>Normal</v>
      </c>
      <c r="P403">
        <f>_xlfn.XLOOKUP(E403,Products_Master!B:B,Products_Master!D:D)</f>
        <v>2000</v>
      </c>
    </row>
    <row r="404" spans="1:16" x14ac:dyDescent="0.35">
      <c r="A404" t="s">
        <v>436</v>
      </c>
      <c r="B404" s="5">
        <v>45717</v>
      </c>
      <c r="C404" s="2" t="str">
        <f t="shared" si="24"/>
        <v>March</v>
      </c>
      <c r="D404" s="2" t="str">
        <f t="shared" si="25"/>
        <v>2025</v>
      </c>
      <c r="E404" t="s">
        <v>54</v>
      </c>
      <c r="F404" t="s">
        <v>18</v>
      </c>
      <c r="G404" t="s">
        <v>24</v>
      </c>
      <c r="H404" t="s">
        <v>49</v>
      </c>
      <c r="I404">
        <v>1</v>
      </c>
      <c r="J404">
        <v>85000</v>
      </c>
      <c r="K404">
        <v>0</v>
      </c>
      <c r="L404">
        <v>85000</v>
      </c>
      <c r="M404" s="7">
        <v>85000</v>
      </c>
      <c r="N404" s="19">
        <f t="shared" si="26"/>
        <v>15000</v>
      </c>
      <c r="O404" t="str">
        <f t="shared" si="27"/>
        <v>Normal</v>
      </c>
      <c r="P404">
        <f>_xlfn.XLOOKUP(E404,Products_Master!B:B,Products_Master!D:D)</f>
        <v>70000</v>
      </c>
    </row>
    <row r="405" spans="1:16" x14ac:dyDescent="0.35">
      <c r="A405" t="s">
        <v>437</v>
      </c>
      <c r="B405" s="5">
        <v>45721</v>
      </c>
      <c r="C405" s="2" t="str">
        <f t="shared" si="24"/>
        <v>March</v>
      </c>
      <c r="D405" s="2" t="str">
        <f t="shared" si="25"/>
        <v>2025</v>
      </c>
      <c r="E405" t="s">
        <v>31</v>
      </c>
      <c r="F405" t="s">
        <v>18</v>
      </c>
      <c r="G405" t="s">
        <v>24</v>
      </c>
      <c r="H405" t="s">
        <v>15</v>
      </c>
      <c r="I405">
        <v>9</v>
      </c>
      <c r="J405">
        <v>8000</v>
      </c>
      <c r="K405">
        <v>5</v>
      </c>
      <c r="L405">
        <v>72000</v>
      </c>
      <c r="M405" s="7">
        <v>68400</v>
      </c>
      <c r="N405" s="19">
        <f t="shared" si="26"/>
        <v>480600</v>
      </c>
      <c r="O405" t="str">
        <f t="shared" si="27"/>
        <v>Normal</v>
      </c>
      <c r="P405">
        <f>_xlfn.XLOOKUP(E405,Products_Master!B:B,Products_Master!D:D)</f>
        <v>15000</v>
      </c>
    </row>
    <row r="406" spans="1:16" x14ac:dyDescent="0.35">
      <c r="A406" t="s">
        <v>438</v>
      </c>
      <c r="B406" s="5">
        <v>45721</v>
      </c>
      <c r="C406" s="2" t="str">
        <f t="shared" si="24"/>
        <v>March</v>
      </c>
      <c r="D406" s="2" t="str">
        <f t="shared" si="25"/>
        <v>2025</v>
      </c>
      <c r="E406" t="s">
        <v>17</v>
      </c>
      <c r="F406" t="s">
        <v>18</v>
      </c>
      <c r="G406" t="s">
        <v>39</v>
      </c>
      <c r="H406" t="s">
        <v>40</v>
      </c>
      <c r="I406">
        <v>1</v>
      </c>
      <c r="J406">
        <v>8000</v>
      </c>
      <c r="K406">
        <v>15</v>
      </c>
      <c r="L406">
        <v>8000</v>
      </c>
      <c r="M406" s="7">
        <v>6800</v>
      </c>
      <c r="N406" s="19">
        <f t="shared" si="26"/>
        <v>4800</v>
      </c>
      <c r="O406" t="str">
        <f t="shared" si="27"/>
        <v>Normal</v>
      </c>
      <c r="P406">
        <f>_xlfn.XLOOKUP(E406,Products_Master!B:B,Products_Master!D:D)</f>
        <v>2000</v>
      </c>
    </row>
    <row r="407" spans="1:16" x14ac:dyDescent="0.35">
      <c r="A407" t="s">
        <v>439</v>
      </c>
      <c r="B407" s="5">
        <v>45722</v>
      </c>
      <c r="C407" s="2" t="str">
        <f t="shared" si="24"/>
        <v>March</v>
      </c>
      <c r="D407" s="2" t="str">
        <f t="shared" si="25"/>
        <v>2025</v>
      </c>
      <c r="E407" t="s">
        <v>36</v>
      </c>
      <c r="F407" t="s">
        <v>18</v>
      </c>
      <c r="G407" t="s">
        <v>24</v>
      </c>
      <c r="H407" t="s">
        <v>25</v>
      </c>
      <c r="I407">
        <v>2</v>
      </c>
      <c r="J407">
        <v>8000</v>
      </c>
      <c r="K407">
        <v>5</v>
      </c>
      <c r="L407">
        <v>16000</v>
      </c>
      <c r="M407" s="7">
        <v>15200</v>
      </c>
      <c r="N407" s="19">
        <f t="shared" si="26"/>
        <v>28800</v>
      </c>
      <c r="O407" t="str">
        <f t="shared" si="27"/>
        <v>Normal</v>
      </c>
      <c r="P407">
        <f>_xlfn.XLOOKUP(E407,Products_Master!B:B,Products_Master!D:D)</f>
        <v>800</v>
      </c>
    </row>
    <row r="408" spans="1:16" x14ac:dyDescent="0.35">
      <c r="A408" t="s">
        <v>440</v>
      </c>
      <c r="B408" s="5">
        <v>45722</v>
      </c>
      <c r="C408" s="2" t="str">
        <f t="shared" si="24"/>
        <v>March</v>
      </c>
      <c r="D408" s="2" t="str">
        <f t="shared" si="25"/>
        <v>2025</v>
      </c>
      <c r="E408" t="s">
        <v>31</v>
      </c>
      <c r="F408" t="s">
        <v>13</v>
      </c>
      <c r="G408" t="s">
        <v>39</v>
      </c>
      <c r="H408" t="s">
        <v>40</v>
      </c>
      <c r="I408">
        <v>6</v>
      </c>
      <c r="J408">
        <v>45000</v>
      </c>
      <c r="K408">
        <v>5</v>
      </c>
      <c r="L408">
        <v>270000</v>
      </c>
      <c r="M408" s="7">
        <v>256500</v>
      </c>
      <c r="N408" s="19">
        <f t="shared" si="26"/>
        <v>1449000</v>
      </c>
      <c r="O408" t="str">
        <f t="shared" si="27"/>
        <v>Normal</v>
      </c>
      <c r="P408">
        <f>_xlfn.XLOOKUP(E408,Products_Master!B:B,Products_Master!D:D)</f>
        <v>15000</v>
      </c>
    </row>
    <row r="409" spans="1:16" x14ac:dyDescent="0.35">
      <c r="A409" t="s">
        <v>441</v>
      </c>
      <c r="B409" s="5">
        <v>45724</v>
      </c>
      <c r="C409" s="2" t="str">
        <f t="shared" si="24"/>
        <v>March</v>
      </c>
      <c r="D409" s="2" t="str">
        <f t="shared" si="25"/>
        <v>2025</v>
      </c>
      <c r="E409" t="s">
        <v>27</v>
      </c>
      <c r="F409" t="s">
        <v>18</v>
      </c>
      <c r="G409" t="s">
        <v>39</v>
      </c>
      <c r="H409" t="s">
        <v>49</v>
      </c>
      <c r="I409">
        <v>5</v>
      </c>
      <c r="J409">
        <v>15000</v>
      </c>
      <c r="K409">
        <v>5</v>
      </c>
      <c r="L409">
        <v>75000</v>
      </c>
      <c r="M409" s="7">
        <v>71250</v>
      </c>
      <c r="N409" s="19">
        <f t="shared" si="26"/>
        <v>351750</v>
      </c>
      <c r="O409" t="str">
        <f t="shared" si="27"/>
        <v>Normal</v>
      </c>
      <c r="P409">
        <f>_xlfn.XLOOKUP(E409,Products_Master!B:B,Products_Master!D:D)</f>
        <v>900</v>
      </c>
    </row>
    <row r="410" spans="1:16" x14ac:dyDescent="0.35">
      <c r="A410" t="s">
        <v>442</v>
      </c>
      <c r="B410" s="5">
        <v>45724</v>
      </c>
      <c r="C410" s="2" t="str">
        <f t="shared" si="24"/>
        <v>March</v>
      </c>
      <c r="D410" s="2" t="str">
        <f t="shared" si="25"/>
        <v>2025</v>
      </c>
      <c r="E410" t="s">
        <v>31</v>
      </c>
      <c r="F410" t="s">
        <v>13</v>
      </c>
      <c r="G410" t="s">
        <v>39</v>
      </c>
      <c r="H410" t="s">
        <v>34</v>
      </c>
      <c r="I410">
        <v>6</v>
      </c>
      <c r="J410">
        <v>85000</v>
      </c>
      <c r="K410">
        <v>0</v>
      </c>
      <c r="L410">
        <v>510000</v>
      </c>
      <c r="M410" s="7">
        <v>510000</v>
      </c>
      <c r="N410" s="19">
        <f t="shared" si="26"/>
        <v>2970000</v>
      </c>
      <c r="O410" t="str">
        <f t="shared" si="27"/>
        <v>Normal</v>
      </c>
      <c r="P410">
        <f>_xlfn.XLOOKUP(E410,Products_Master!B:B,Products_Master!D:D)</f>
        <v>15000</v>
      </c>
    </row>
    <row r="411" spans="1:16" x14ac:dyDescent="0.35">
      <c r="A411" t="s">
        <v>443</v>
      </c>
      <c r="B411" s="5">
        <v>45724</v>
      </c>
      <c r="C411" s="2" t="str">
        <f t="shared" si="24"/>
        <v>March</v>
      </c>
      <c r="D411" s="2" t="str">
        <f t="shared" si="25"/>
        <v>2025</v>
      </c>
      <c r="E411" t="s">
        <v>27</v>
      </c>
      <c r="F411" t="s">
        <v>18</v>
      </c>
      <c r="G411" t="s">
        <v>21</v>
      </c>
      <c r="H411" t="s">
        <v>40</v>
      </c>
      <c r="I411">
        <v>6</v>
      </c>
      <c r="J411">
        <v>85000</v>
      </c>
      <c r="K411">
        <v>5</v>
      </c>
      <c r="L411">
        <v>510000</v>
      </c>
      <c r="M411" s="7">
        <v>484500</v>
      </c>
      <c r="N411" s="19">
        <f t="shared" si="26"/>
        <v>2901600</v>
      </c>
      <c r="O411" t="str">
        <f t="shared" si="27"/>
        <v>Normal</v>
      </c>
      <c r="P411">
        <f>_xlfn.XLOOKUP(E411,Products_Master!B:B,Products_Master!D:D)</f>
        <v>900</v>
      </c>
    </row>
    <row r="412" spans="1:16" x14ac:dyDescent="0.35">
      <c r="A412" t="s">
        <v>444</v>
      </c>
      <c r="B412" s="5">
        <v>45724</v>
      </c>
      <c r="C412" s="2" t="str">
        <f t="shared" si="24"/>
        <v>March</v>
      </c>
      <c r="D412" s="2" t="str">
        <f t="shared" si="25"/>
        <v>2025</v>
      </c>
      <c r="E412" t="s">
        <v>36</v>
      </c>
      <c r="F412" t="s">
        <v>18</v>
      </c>
      <c r="G412" t="s">
        <v>14</v>
      </c>
      <c r="H412" t="s">
        <v>15</v>
      </c>
      <c r="I412">
        <v>2</v>
      </c>
      <c r="J412">
        <v>45000</v>
      </c>
      <c r="K412">
        <v>15</v>
      </c>
      <c r="L412">
        <v>90000</v>
      </c>
      <c r="M412" s="7">
        <v>76500</v>
      </c>
      <c r="N412" s="19">
        <f t="shared" si="26"/>
        <v>151400</v>
      </c>
      <c r="O412" t="str">
        <f t="shared" si="27"/>
        <v>Normal</v>
      </c>
      <c r="P412">
        <f>_xlfn.XLOOKUP(E412,Products_Master!B:B,Products_Master!D:D)</f>
        <v>800</v>
      </c>
    </row>
    <row r="413" spans="1:16" x14ac:dyDescent="0.35">
      <c r="A413" t="s">
        <v>445</v>
      </c>
      <c r="B413" s="5">
        <v>45725</v>
      </c>
      <c r="C413" s="2" t="str">
        <f t="shared" si="24"/>
        <v>March</v>
      </c>
      <c r="D413" s="2" t="str">
        <f t="shared" si="25"/>
        <v>2025</v>
      </c>
      <c r="E413" t="s">
        <v>54</v>
      </c>
      <c r="F413" t="s">
        <v>18</v>
      </c>
      <c r="G413" t="s">
        <v>19</v>
      </c>
      <c r="H413" t="s">
        <v>25</v>
      </c>
      <c r="I413">
        <v>7</v>
      </c>
      <c r="J413">
        <v>45000</v>
      </c>
      <c r="K413">
        <v>0</v>
      </c>
      <c r="L413">
        <v>315000</v>
      </c>
      <c r="M413" s="7">
        <v>315000</v>
      </c>
      <c r="N413" s="19">
        <f t="shared" si="26"/>
        <v>1715000</v>
      </c>
      <c r="O413" t="str">
        <f t="shared" si="27"/>
        <v>Normal</v>
      </c>
      <c r="P413">
        <f>_xlfn.XLOOKUP(E413,Products_Master!B:B,Products_Master!D:D)</f>
        <v>70000</v>
      </c>
    </row>
    <row r="414" spans="1:16" x14ac:dyDescent="0.35">
      <c r="A414" t="s">
        <v>446</v>
      </c>
      <c r="B414" s="5">
        <v>45725</v>
      </c>
      <c r="C414" s="2" t="str">
        <f t="shared" si="24"/>
        <v>March</v>
      </c>
      <c r="D414" s="2" t="str">
        <f t="shared" si="25"/>
        <v>2025</v>
      </c>
      <c r="E414" t="s">
        <v>12</v>
      </c>
      <c r="F414" t="s">
        <v>18</v>
      </c>
      <c r="G414" t="s">
        <v>24</v>
      </c>
      <c r="H414" t="s">
        <v>29</v>
      </c>
      <c r="I414">
        <v>4</v>
      </c>
      <c r="J414">
        <v>85000</v>
      </c>
      <c r="K414">
        <v>5</v>
      </c>
      <c r="L414">
        <v>340000</v>
      </c>
      <c r="M414" s="7">
        <v>323000</v>
      </c>
      <c r="N414" s="19">
        <f t="shared" si="26"/>
        <v>1152000</v>
      </c>
      <c r="O414" t="str">
        <f t="shared" si="27"/>
        <v>Normal</v>
      </c>
      <c r="P414">
        <f>_xlfn.XLOOKUP(E414,Products_Master!B:B,Products_Master!D:D)</f>
        <v>35000</v>
      </c>
    </row>
    <row r="415" spans="1:16" x14ac:dyDescent="0.35">
      <c r="A415" t="s">
        <v>447</v>
      </c>
      <c r="B415" s="5">
        <v>45725</v>
      </c>
      <c r="C415" s="2" t="str">
        <f t="shared" si="24"/>
        <v>March</v>
      </c>
      <c r="D415" s="2" t="str">
        <f t="shared" si="25"/>
        <v>2025</v>
      </c>
      <c r="E415" t="s">
        <v>36</v>
      </c>
      <c r="F415" t="s">
        <v>13</v>
      </c>
      <c r="G415" t="s">
        <v>14</v>
      </c>
      <c r="H415" t="s">
        <v>34</v>
      </c>
      <c r="I415">
        <v>5</v>
      </c>
      <c r="J415">
        <v>2500</v>
      </c>
      <c r="K415">
        <v>0</v>
      </c>
      <c r="L415">
        <v>12500</v>
      </c>
      <c r="M415" s="7">
        <v>12500</v>
      </c>
      <c r="N415" s="19">
        <f t="shared" si="26"/>
        <v>58500</v>
      </c>
      <c r="O415" t="str">
        <f t="shared" si="27"/>
        <v>Normal</v>
      </c>
      <c r="P415">
        <f>_xlfn.XLOOKUP(E415,Products_Master!B:B,Products_Master!D:D)</f>
        <v>800</v>
      </c>
    </row>
    <row r="416" spans="1:16" x14ac:dyDescent="0.35">
      <c r="A416" t="s">
        <v>448</v>
      </c>
      <c r="B416" s="5">
        <v>45725</v>
      </c>
      <c r="C416" s="2" t="str">
        <f t="shared" si="24"/>
        <v>March</v>
      </c>
      <c r="D416" s="2" t="str">
        <f t="shared" si="25"/>
        <v>2025</v>
      </c>
      <c r="E416" t="s">
        <v>23</v>
      </c>
      <c r="F416" t="s">
        <v>13</v>
      </c>
      <c r="G416" t="s">
        <v>21</v>
      </c>
      <c r="H416" t="s">
        <v>15</v>
      </c>
      <c r="I416">
        <v>4</v>
      </c>
      <c r="J416">
        <v>45000</v>
      </c>
      <c r="K416">
        <v>0</v>
      </c>
      <c r="L416">
        <v>180000</v>
      </c>
      <c r="M416" s="7">
        <v>180000</v>
      </c>
      <c r="N416" s="19">
        <f t="shared" si="26"/>
        <v>648000</v>
      </c>
      <c r="O416" t="str">
        <f t="shared" si="27"/>
        <v>Normal</v>
      </c>
      <c r="P416">
        <f>_xlfn.XLOOKUP(E416,Products_Master!B:B,Products_Master!D:D)</f>
        <v>18000</v>
      </c>
    </row>
    <row r="417" spans="1:16" x14ac:dyDescent="0.35">
      <c r="A417" t="s">
        <v>449</v>
      </c>
      <c r="B417" s="5">
        <v>45727</v>
      </c>
      <c r="C417" s="2" t="str">
        <f t="shared" si="24"/>
        <v>March</v>
      </c>
      <c r="D417" s="2" t="str">
        <f t="shared" si="25"/>
        <v>2025</v>
      </c>
      <c r="E417" t="s">
        <v>31</v>
      </c>
      <c r="F417" t="s">
        <v>13</v>
      </c>
      <c r="G417" t="s">
        <v>14</v>
      </c>
      <c r="H417" t="s">
        <v>49</v>
      </c>
      <c r="I417">
        <v>5</v>
      </c>
      <c r="J417">
        <v>15000</v>
      </c>
      <c r="K417">
        <v>0</v>
      </c>
      <c r="L417">
        <v>75000</v>
      </c>
      <c r="M417" s="7">
        <v>75000</v>
      </c>
      <c r="N417" s="19">
        <f t="shared" si="26"/>
        <v>300000</v>
      </c>
      <c r="O417" t="str">
        <f t="shared" si="27"/>
        <v>Normal</v>
      </c>
      <c r="P417">
        <f>_xlfn.XLOOKUP(E417,Products_Master!B:B,Products_Master!D:D)</f>
        <v>15000</v>
      </c>
    </row>
    <row r="418" spans="1:16" x14ac:dyDescent="0.35">
      <c r="A418" t="s">
        <v>450</v>
      </c>
      <c r="B418" s="5">
        <v>45728</v>
      </c>
      <c r="C418" s="2" t="str">
        <f t="shared" si="24"/>
        <v>March</v>
      </c>
      <c r="D418" s="2" t="str">
        <f t="shared" si="25"/>
        <v>2025</v>
      </c>
      <c r="E418" t="s">
        <v>31</v>
      </c>
      <c r="F418" t="s">
        <v>13</v>
      </c>
      <c r="G418" t="s">
        <v>39</v>
      </c>
      <c r="H418" t="s">
        <v>34</v>
      </c>
      <c r="I418">
        <v>4</v>
      </c>
      <c r="J418">
        <v>15000</v>
      </c>
      <c r="K418">
        <v>0</v>
      </c>
      <c r="L418">
        <v>60000</v>
      </c>
      <c r="M418" s="7">
        <v>60000</v>
      </c>
      <c r="N418" s="19">
        <f t="shared" si="26"/>
        <v>180000</v>
      </c>
      <c r="O418" t="str">
        <f t="shared" si="27"/>
        <v>Normal</v>
      </c>
      <c r="P418">
        <f>_xlfn.XLOOKUP(E418,Products_Master!B:B,Products_Master!D:D)</f>
        <v>15000</v>
      </c>
    </row>
    <row r="419" spans="1:16" x14ac:dyDescent="0.35">
      <c r="A419" t="s">
        <v>451</v>
      </c>
      <c r="B419" s="5">
        <v>45729</v>
      </c>
      <c r="C419" s="2" t="str">
        <f t="shared" si="24"/>
        <v>March</v>
      </c>
      <c r="D419" s="2" t="str">
        <f t="shared" si="25"/>
        <v>2025</v>
      </c>
      <c r="E419" t="s">
        <v>31</v>
      </c>
      <c r="F419" t="s">
        <v>13</v>
      </c>
      <c r="G419" t="s">
        <v>24</v>
      </c>
      <c r="H419" t="s">
        <v>29</v>
      </c>
      <c r="I419">
        <v>9</v>
      </c>
      <c r="J419">
        <v>45000</v>
      </c>
      <c r="K419">
        <v>15</v>
      </c>
      <c r="L419">
        <v>405000</v>
      </c>
      <c r="M419" s="7">
        <v>344250</v>
      </c>
      <c r="N419" s="19">
        <f t="shared" si="26"/>
        <v>2963250</v>
      </c>
      <c r="O419" t="str">
        <f t="shared" si="27"/>
        <v>Normal</v>
      </c>
      <c r="P419">
        <f>_xlfn.XLOOKUP(E419,Products_Master!B:B,Products_Master!D:D)</f>
        <v>15000</v>
      </c>
    </row>
    <row r="420" spans="1:16" x14ac:dyDescent="0.35">
      <c r="A420" t="s">
        <v>452</v>
      </c>
      <c r="B420" s="5">
        <v>45730</v>
      </c>
      <c r="C420" s="2" t="str">
        <f t="shared" si="24"/>
        <v>March</v>
      </c>
      <c r="D420" s="2" t="str">
        <f t="shared" si="25"/>
        <v>2025</v>
      </c>
      <c r="E420" t="s">
        <v>54</v>
      </c>
      <c r="F420" t="s">
        <v>13</v>
      </c>
      <c r="G420" t="s">
        <v>19</v>
      </c>
      <c r="H420" t="s">
        <v>15</v>
      </c>
      <c r="I420">
        <v>8</v>
      </c>
      <c r="J420">
        <v>2500</v>
      </c>
      <c r="K420">
        <v>10</v>
      </c>
      <c r="L420">
        <v>20000</v>
      </c>
      <c r="M420" s="7">
        <v>18000</v>
      </c>
      <c r="N420" s="19">
        <f t="shared" si="26"/>
        <v>-416000</v>
      </c>
      <c r="O420" t="str">
        <f t="shared" si="27"/>
        <v>Normal</v>
      </c>
      <c r="P420">
        <f>_xlfn.XLOOKUP(E420,Products_Master!B:B,Products_Master!D:D)</f>
        <v>70000</v>
      </c>
    </row>
    <row r="421" spans="1:16" x14ac:dyDescent="0.35">
      <c r="A421" t="s">
        <v>453</v>
      </c>
      <c r="B421" s="5">
        <v>45732</v>
      </c>
      <c r="C421" s="2" t="str">
        <f t="shared" si="24"/>
        <v>March</v>
      </c>
      <c r="D421" s="2" t="str">
        <f t="shared" si="25"/>
        <v>2025</v>
      </c>
      <c r="E421" t="s">
        <v>42</v>
      </c>
      <c r="F421" t="s">
        <v>18</v>
      </c>
      <c r="G421" t="s">
        <v>21</v>
      </c>
      <c r="H421" t="s">
        <v>25</v>
      </c>
      <c r="I421">
        <v>7</v>
      </c>
      <c r="J421">
        <v>45000</v>
      </c>
      <c r="K421">
        <v>5</v>
      </c>
      <c r="L421">
        <v>315000</v>
      </c>
      <c r="M421" s="7">
        <v>299250</v>
      </c>
      <c r="N421" s="19">
        <f t="shared" si="26"/>
        <v>2090550</v>
      </c>
      <c r="O421" t="str">
        <f t="shared" si="27"/>
        <v>Normal</v>
      </c>
      <c r="P421">
        <f>_xlfn.XLOOKUP(E421,Products_Master!B:B,Products_Master!D:D)</f>
        <v>600</v>
      </c>
    </row>
    <row r="422" spans="1:16" x14ac:dyDescent="0.35">
      <c r="A422" t="s">
        <v>454</v>
      </c>
      <c r="B422" s="5">
        <v>45732</v>
      </c>
      <c r="C422" s="2" t="str">
        <f t="shared" si="24"/>
        <v>March</v>
      </c>
      <c r="D422" s="2" t="str">
        <f t="shared" si="25"/>
        <v>2025</v>
      </c>
      <c r="E422" t="s">
        <v>27</v>
      </c>
      <c r="F422" t="s">
        <v>18</v>
      </c>
      <c r="G422" t="s">
        <v>39</v>
      </c>
      <c r="H422" t="s">
        <v>34</v>
      </c>
      <c r="I422">
        <v>1</v>
      </c>
      <c r="J422">
        <v>45000</v>
      </c>
      <c r="K422">
        <v>10</v>
      </c>
      <c r="L422">
        <v>45000</v>
      </c>
      <c r="M422" s="7">
        <v>40500</v>
      </c>
      <c r="N422" s="19">
        <f t="shared" si="26"/>
        <v>39600</v>
      </c>
      <c r="O422" t="str">
        <f t="shared" si="27"/>
        <v>Normal</v>
      </c>
      <c r="P422">
        <f>_xlfn.XLOOKUP(E422,Products_Master!B:B,Products_Master!D:D)</f>
        <v>900</v>
      </c>
    </row>
    <row r="423" spans="1:16" x14ac:dyDescent="0.35">
      <c r="A423" t="s">
        <v>455</v>
      </c>
      <c r="B423" s="5">
        <v>45733</v>
      </c>
      <c r="C423" s="2" t="str">
        <f t="shared" si="24"/>
        <v>March</v>
      </c>
      <c r="D423" s="2" t="str">
        <f t="shared" si="25"/>
        <v>2025</v>
      </c>
      <c r="E423" t="s">
        <v>54</v>
      </c>
      <c r="F423" t="s">
        <v>13</v>
      </c>
      <c r="G423" t="s">
        <v>14</v>
      </c>
      <c r="H423" t="s">
        <v>15</v>
      </c>
      <c r="I423">
        <v>9</v>
      </c>
      <c r="J423">
        <v>85000</v>
      </c>
      <c r="K423">
        <v>0</v>
      </c>
      <c r="L423">
        <v>765000</v>
      </c>
      <c r="M423" s="7">
        <v>765000</v>
      </c>
      <c r="N423" s="19">
        <f t="shared" si="26"/>
        <v>6255000</v>
      </c>
      <c r="O423" t="str">
        <f t="shared" si="27"/>
        <v>Normal</v>
      </c>
      <c r="P423">
        <f>_xlfn.XLOOKUP(E423,Products_Master!B:B,Products_Master!D:D)</f>
        <v>70000</v>
      </c>
    </row>
    <row r="424" spans="1:16" x14ac:dyDescent="0.35">
      <c r="A424" t="s">
        <v>456</v>
      </c>
      <c r="B424" s="5">
        <v>45733</v>
      </c>
      <c r="C424" s="2" t="str">
        <f t="shared" si="24"/>
        <v>March</v>
      </c>
      <c r="D424" s="2" t="str">
        <f t="shared" si="25"/>
        <v>2025</v>
      </c>
      <c r="E424" t="s">
        <v>23</v>
      </c>
      <c r="F424" t="s">
        <v>13</v>
      </c>
      <c r="G424" t="s">
        <v>21</v>
      </c>
      <c r="H424" t="s">
        <v>34</v>
      </c>
      <c r="I424">
        <v>6</v>
      </c>
      <c r="J424">
        <v>8000</v>
      </c>
      <c r="K424">
        <v>0</v>
      </c>
      <c r="L424">
        <v>48000</v>
      </c>
      <c r="M424" s="7">
        <v>48000</v>
      </c>
      <c r="N424" s="19">
        <f t="shared" si="26"/>
        <v>180000</v>
      </c>
      <c r="O424" t="str">
        <f t="shared" si="27"/>
        <v>Normal</v>
      </c>
      <c r="P424">
        <f>_xlfn.XLOOKUP(E424,Products_Master!B:B,Products_Master!D:D)</f>
        <v>18000</v>
      </c>
    </row>
    <row r="425" spans="1:16" x14ac:dyDescent="0.35">
      <c r="A425" t="s">
        <v>457</v>
      </c>
      <c r="B425" s="5">
        <v>45736</v>
      </c>
      <c r="C425" s="2" t="str">
        <f t="shared" si="24"/>
        <v>March</v>
      </c>
      <c r="D425" s="2" t="str">
        <f t="shared" si="25"/>
        <v>2025</v>
      </c>
      <c r="E425" t="s">
        <v>31</v>
      </c>
      <c r="F425" t="s">
        <v>18</v>
      </c>
      <c r="G425" t="s">
        <v>39</v>
      </c>
      <c r="H425" t="s">
        <v>32</v>
      </c>
      <c r="I425">
        <v>1</v>
      </c>
      <c r="J425">
        <v>1500</v>
      </c>
      <c r="K425">
        <v>0</v>
      </c>
      <c r="L425">
        <v>1500</v>
      </c>
      <c r="M425" s="7">
        <v>1500</v>
      </c>
      <c r="N425" s="19">
        <f t="shared" si="26"/>
        <v>-13500</v>
      </c>
      <c r="O425" t="str">
        <f t="shared" si="27"/>
        <v>Normal</v>
      </c>
      <c r="P425">
        <f>_xlfn.XLOOKUP(E425,Products_Master!B:B,Products_Master!D:D)</f>
        <v>15000</v>
      </c>
    </row>
    <row r="426" spans="1:16" x14ac:dyDescent="0.35">
      <c r="A426" t="s">
        <v>458</v>
      </c>
      <c r="B426" s="5">
        <v>45737</v>
      </c>
      <c r="C426" s="2" t="str">
        <f t="shared" si="24"/>
        <v>March</v>
      </c>
      <c r="D426" s="2" t="str">
        <f t="shared" si="25"/>
        <v>2025</v>
      </c>
      <c r="E426" t="s">
        <v>27</v>
      </c>
      <c r="F426" t="s">
        <v>18</v>
      </c>
      <c r="G426" t="s">
        <v>19</v>
      </c>
      <c r="H426" t="s">
        <v>32</v>
      </c>
      <c r="I426">
        <v>1</v>
      </c>
      <c r="J426">
        <v>15000</v>
      </c>
      <c r="K426">
        <v>0</v>
      </c>
      <c r="L426">
        <v>15000</v>
      </c>
      <c r="M426" s="7">
        <v>15000</v>
      </c>
      <c r="N426" s="19">
        <f t="shared" si="26"/>
        <v>14100</v>
      </c>
      <c r="O426" t="str">
        <f t="shared" si="27"/>
        <v>Normal</v>
      </c>
      <c r="P426">
        <f>_xlfn.XLOOKUP(E426,Products_Master!B:B,Products_Master!D:D)</f>
        <v>900</v>
      </c>
    </row>
    <row r="427" spans="1:16" x14ac:dyDescent="0.35">
      <c r="A427" t="s">
        <v>459</v>
      </c>
      <c r="B427" s="5">
        <v>45738</v>
      </c>
      <c r="C427" s="2" t="str">
        <f t="shared" si="24"/>
        <v>March</v>
      </c>
      <c r="D427" s="2" t="str">
        <f t="shared" si="25"/>
        <v>2025</v>
      </c>
      <c r="E427" t="s">
        <v>42</v>
      </c>
      <c r="F427" t="s">
        <v>18</v>
      </c>
      <c r="G427" t="s">
        <v>21</v>
      </c>
      <c r="H427" t="s">
        <v>25</v>
      </c>
      <c r="I427">
        <v>5</v>
      </c>
      <c r="J427">
        <v>45000</v>
      </c>
      <c r="K427">
        <v>10</v>
      </c>
      <c r="L427">
        <v>225000</v>
      </c>
      <c r="M427" s="7">
        <v>202500</v>
      </c>
      <c r="N427" s="19">
        <f t="shared" si="26"/>
        <v>1009500</v>
      </c>
      <c r="O427" t="str">
        <f t="shared" si="27"/>
        <v>Normal</v>
      </c>
      <c r="P427">
        <f>_xlfn.XLOOKUP(E427,Products_Master!B:B,Products_Master!D:D)</f>
        <v>600</v>
      </c>
    </row>
    <row r="428" spans="1:16" x14ac:dyDescent="0.35">
      <c r="A428" t="s">
        <v>460</v>
      </c>
      <c r="B428" s="5">
        <v>45738</v>
      </c>
      <c r="C428" s="2" t="str">
        <f t="shared" si="24"/>
        <v>March</v>
      </c>
      <c r="D428" s="2" t="str">
        <f t="shared" si="25"/>
        <v>2025</v>
      </c>
      <c r="E428" t="s">
        <v>54</v>
      </c>
      <c r="F428" t="s">
        <v>18</v>
      </c>
      <c r="G428" t="s">
        <v>24</v>
      </c>
      <c r="H428" t="s">
        <v>25</v>
      </c>
      <c r="I428">
        <v>1</v>
      </c>
      <c r="J428">
        <v>15000</v>
      </c>
      <c r="K428">
        <v>0</v>
      </c>
      <c r="L428">
        <v>15000</v>
      </c>
      <c r="M428" s="7">
        <v>15000</v>
      </c>
      <c r="N428" s="19">
        <f t="shared" si="26"/>
        <v>-55000</v>
      </c>
      <c r="O428" t="str">
        <f t="shared" si="27"/>
        <v>Normal</v>
      </c>
      <c r="P428">
        <f>_xlfn.XLOOKUP(E428,Products_Master!B:B,Products_Master!D:D)</f>
        <v>70000</v>
      </c>
    </row>
    <row r="429" spans="1:16" x14ac:dyDescent="0.35">
      <c r="A429" t="s">
        <v>461</v>
      </c>
      <c r="B429" s="5">
        <v>45740</v>
      </c>
      <c r="C429" s="2" t="str">
        <f t="shared" si="24"/>
        <v>March</v>
      </c>
      <c r="D429" s="2" t="str">
        <f t="shared" si="25"/>
        <v>2025</v>
      </c>
      <c r="E429" t="s">
        <v>54</v>
      </c>
      <c r="F429" t="s">
        <v>13</v>
      </c>
      <c r="G429" t="s">
        <v>21</v>
      </c>
      <c r="H429" t="s">
        <v>15</v>
      </c>
      <c r="I429">
        <v>5</v>
      </c>
      <c r="J429">
        <v>1500</v>
      </c>
      <c r="K429">
        <v>10</v>
      </c>
      <c r="L429">
        <v>7500</v>
      </c>
      <c r="M429" s="7">
        <v>6750</v>
      </c>
      <c r="N429" s="19">
        <f t="shared" si="26"/>
        <v>-316250</v>
      </c>
      <c r="O429" t="str">
        <f t="shared" si="27"/>
        <v>Normal</v>
      </c>
      <c r="P429">
        <f>_xlfn.XLOOKUP(E429,Products_Master!B:B,Products_Master!D:D)</f>
        <v>70000</v>
      </c>
    </row>
    <row r="430" spans="1:16" x14ac:dyDescent="0.35">
      <c r="A430" t="s">
        <v>462</v>
      </c>
      <c r="B430" s="5">
        <v>45740</v>
      </c>
      <c r="C430" s="2" t="str">
        <f t="shared" si="24"/>
        <v>March</v>
      </c>
      <c r="D430" s="2" t="str">
        <f t="shared" si="25"/>
        <v>2025</v>
      </c>
      <c r="E430" t="s">
        <v>17</v>
      </c>
      <c r="F430" t="s">
        <v>13</v>
      </c>
      <c r="G430" t="s">
        <v>19</v>
      </c>
      <c r="H430" t="s">
        <v>34</v>
      </c>
      <c r="I430">
        <v>6</v>
      </c>
      <c r="J430">
        <v>1500</v>
      </c>
      <c r="K430">
        <v>10</v>
      </c>
      <c r="L430">
        <v>9000</v>
      </c>
      <c r="M430" s="7">
        <v>8100</v>
      </c>
      <c r="N430" s="19">
        <f t="shared" si="26"/>
        <v>36600</v>
      </c>
      <c r="O430" t="str">
        <f t="shared" si="27"/>
        <v>Normal</v>
      </c>
      <c r="P430">
        <f>_xlfn.XLOOKUP(E430,Products_Master!B:B,Products_Master!D:D)</f>
        <v>2000</v>
      </c>
    </row>
    <row r="431" spans="1:16" x14ac:dyDescent="0.35">
      <c r="A431" t="s">
        <v>463</v>
      </c>
      <c r="B431" s="5">
        <v>45742</v>
      </c>
      <c r="C431" s="2" t="str">
        <f t="shared" si="24"/>
        <v>March</v>
      </c>
      <c r="D431" s="2" t="str">
        <f t="shared" si="25"/>
        <v>2025</v>
      </c>
      <c r="E431" t="s">
        <v>17</v>
      </c>
      <c r="F431" t="s">
        <v>13</v>
      </c>
      <c r="G431" t="s">
        <v>21</v>
      </c>
      <c r="H431" t="s">
        <v>15</v>
      </c>
      <c r="I431">
        <v>4</v>
      </c>
      <c r="J431">
        <v>120000</v>
      </c>
      <c r="K431">
        <v>10</v>
      </c>
      <c r="L431">
        <v>480000</v>
      </c>
      <c r="M431" s="7">
        <v>432000</v>
      </c>
      <c r="N431" s="19">
        <f t="shared" si="26"/>
        <v>1720000</v>
      </c>
      <c r="O431" t="str">
        <f t="shared" si="27"/>
        <v>Normal</v>
      </c>
      <c r="P431">
        <f>_xlfn.XLOOKUP(E431,Products_Master!B:B,Products_Master!D:D)</f>
        <v>2000</v>
      </c>
    </row>
    <row r="432" spans="1:16" x14ac:dyDescent="0.35">
      <c r="A432" t="s">
        <v>464</v>
      </c>
      <c r="B432" s="5">
        <v>45744</v>
      </c>
      <c r="C432" s="2" t="str">
        <f t="shared" si="24"/>
        <v>March</v>
      </c>
      <c r="D432" s="2" t="str">
        <f t="shared" si="25"/>
        <v>2025</v>
      </c>
      <c r="E432" t="s">
        <v>42</v>
      </c>
      <c r="F432" t="s">
        <v>13</v>
      </c>
      <c r="G432" t="s">
        <v>21</v>
      </c>
      <c r="H432" t="s">
        <v>49</v>
      </c>
      <c r="I432">
        <v>1</v>
      </c>
      <c r="J432">
        <v>45000</v>
      </c>
      <c r="K432">
        <v>0</v>
      </c>
      <c r="L432">
        <v>45000</v>
      </c>
      <c r="M432" s="7">
        <v>45000</v>
      </c>
      <c r="N432" s="19">
        <f t="shared" si="26"/>
        <v>44400</v>
      </c>
      <c r="O432" t="str">
        <f t="shared" si="27"/>
        <v>Normal</v>
      </c>
      <c r="P432">
        <f>_xlfn.XLOOKUP(E432,Products_Master!B:B,Products_Master!D:D)</f>
        <v>600</v>
      </c>
    </row>
    <row r="433" spans="1:16" x14ac:dyDescent="0.35">
      <c r="A433" t="s">
        <v>465</v>
      </c>
      <c r="B433" s="5">
        <v>45744</v>
      </c>
      <c r="C433" s="2" t="str">
        <f t="shared" si="24"/>
        <v>March</v>
      </c>
      <c r="D433" s="2" t="str">
        <f t="shared" si="25"/>
        <v>2025</v>
      </c>
      <c r="E433" t="s">
        <v>54</v>
      </c>
      <c r="F433" t="s">
        <v>18</v>
      </c>
      <c r="G433" t="s">
        <v>19</v>
      </c>
      <c r="H433" t="s">
        <v>34</v>
      </c>
      <c r="I433">
        <v>7</v>
      </c>
      <c r="J433">
        <v>120000</v>
      </c>
      <c r="K433">
        <v>0</v>
      </c>
      <c r="L433">
        <v>840000</v>
      </c>
      <c r="M433" s="7">
        <v>840000</v>
      </c>
      <c r="N433" s="19">
        <f t="shared" si="26"/>
        <v>5390000</v>
      </c>
      <c r="O433" t="str">
        <f t="shared" si="27"/>
        <v>Normal</v>
      </c>
      <c r="P433">
        <f>_xlfn.XLOOKUP(E433,Products_Master!B:B,Products_Master!D:D)</f>
        <v>70000</v>
      </c>
    </row>
    <row r="434" spans="1:16" x14ac:dyDescent="0.35">
      <c r="A434" t="s">
        <v>466</v>
      </c>
      <c r="B434" s="5">
        <v>45744</v>
      </c>
      <c r="C434" s="2" t="str">
        <f t="shared" si="24"/>
        <v>March</v>
      </c>
      <c r="D434" s="2" t="str">
        <f t="shared" si="25"/>
        <v>2025</v>
      </c>
      <c r="E434" t="s">
        <v>42</v>
      </c>
      <c r="F434" t="s">
        <v>13</v>
      </c>
      <c r="G434" t="s">
        <v>19</v>
      </c>
      <c r="H434" t="s">
        <v>25</v>
      </c>
      <c r="I434">
        <v>1</v>
      </c>
      <c r="J434">
        <v>2500</v>
      </c>
      <c r="K434">
        <v>10</v>
      </c>
      <c r="L434">
        <v>2500</v>
      </c>
      <c r="M434" s="7">
        <v>2250</v>
      </c>
      <c r="N434" s="19">
        <f t="shared" si="26"/>
        <v>1650</v>
      </c>
      <c r="O434" t="str">
        <f t="shared" si="27"/>
        <v>Normal</v>
      </c>
      <c r="P434">
        <f>_xlfn.XLOOKUP(E434,Products_Master!B:B,Products_Master!D:D)</f>
        <v>600</v>
      </c>
    </row>
    <row r="435" spans="1:16" x14ac:dyDescent="0.35">
      <c r="A435" t="s">
        <v>467</v>
      </c>
      <c r="B435" s="5">
        <v>45745</v>
      </c>
      <c r="C435" s="2" t="str">
        <f t="shared" si="24"/>
        <v>March</v>
      </c>
      <c r="D435" s="2" t="str">
        <f t="shared" si="25"/>
        <v>2025</v>
      </c>
      <c r="E435" t="s">
        <v>31</v>
      </c>
      <c r="F435" t="s">
        <v>18</v>
      </c>
      <c r="G435" t="s">
        <v>37</v>
      </c>
      <c r="H435" t="s">
        <v>40</v>
      </c>
      <c r="I435">
        <v>8</v>
      </c>
      <c r="J435">
        <v>1500</v>
      </c>
      <c r="K435">
        <v>5</v>
      </c>
      <c r="L435">
        <v>12000</v>
      </c>
      <c r="M435" s="7">
        <v>11400</v>
      </c>
      <c r="N435" s="19">
        <f t="shared" si="26"/>
        <v>-28800</v>
      </c>
      <c r="O435" t="str">
        <f t="shared" si="27"/>
        <v>Normal</v>
      </c>
      <c r="P435">
        <f>_xlfn.XLOOKUP(E435,Products_Master!B:B,Products_Master!D:D)</f>
        <v>15000</v>
      </c>
    </row>
    <row r="436" spans="1:16" x14ac:dyDescent="0.35">
      <c r="A436" t="s">
        <v>468</v>
      </c>
      <c r="B436" s="5">
        <v>45745</v>
      </c>
      <c r="C436" s="2" t="str">
        <f t="shared" si="24"/>
        <v>March</v>
      </c>
      <c r="D436" s="2" t="str">
        <f t="shared" si="25"/>
        <v>2025</v>
      </c>
      <c r="E436" t="s">
        <v>23</v>
      </c>
      <c r="F436" t="s">
        <v>13</v>
      </c>
      <c r="G436" t="s">
        <v>14</v>
      </c>
      <c r="H436" t="s">
        <v>40</v>
      </c>
      <c r="I436">
        <v>3</v>
      </c>
      <c r="J436">
        <v>2500</v>
      </c>
      <c r="K436">
        <v>5</v>
      </c>
      <c r="L436">
        <v>7500</v>
      </c>
      <c r="M436" s="7">
        <v>7125</v>
      </c>
      <c r="N436" s="19">
        <f t="shared" si="26"/>
        <v>-32625</v>
      </c>
      <c r="O436" t="str">
        <f t="shared" si="27"/>
        <v>Normal</v>
      </c>
      <c r="P436">
        <f>_xlfn.XLOOKUP(E436,Products_Master!B:B,Products_Master!D:D)</f>
        <v>18000</v>
      </c>
    </row>
    <row r="437" spans="1:16" x14ac:dyDescent="0.35">
      <c r="A437" t="s">
        <v>469</v>
      </c>
      <c r="B437" s="5">
        <v>45748</v>
      </c>
      <c r="C437" s="2" t="str">
        <f t="shared" si="24"/>
        <v>April</v>
      </c>
      <c r="D437" s="2" t="str">
        <f t="shared" si="25"/>
        <v>2025</v>
      </c>
      <c r="E437" t="s">
        <v>23</v>
      </c>
      <c r="F437" t="s">
        <v>18</v>
      </c>
      <c r="G437" t="s">
        <v>37</v>
      </c>
      <c r="H437" t="s">
        <v>25</v>
      </c>
      <c r="I437">
        <v>2</v>
      </c>
      <c r="J437">
        <v>15000</v>
      </c>
      <c r="K437">
        <v>10</v>
      </c>
      <c r="L437">
        <v>30000</v>
      </c>
      <c r="M437" s="7">
        <v>27000</v>
      </c>
      <c r="N437" s="19">
        <f t="shared" si="26"/>
        <v>18000</v>
      </c>
      <c r="O437" t="str">
        <f t="shared" si="27"/>
        <v>Normal</v>
      </c>
      <c r="P437">
        <f>_xlfn.XLOOKUP(E437,Products_Master!B:B,Products_Master!D:D)</f>
        <v>18000</v>
      </c>
    </row>
    <row r="438" spans="1:16" x14ac:dyDescent="0.35">
      <c r="A438" t="s">
        <v>470</v>
      </c>
      <c r="B438" s="5">
        <v>45751</v>
      </c>
      <c r="C438" s="2" t="str">
        <f t="shared" si="24"/>
        <v>April</v>
      </c>
      <c r="D438" s="2" t="str">
        <f t="shared" si="25"/>
        <v>2025</v>
      </c>
      <c r="E438" t="s">
        <v>23</v>
      </c>
      <c r="F438" t="s">
        <v>18</v>
      </c>
      <c r="G438" t="s">
        <v>37</v>
      </c>
      <c r="H438" t="s">
        <v>49</v>
      </c>
      <c r="I438">
        <v>9</v>
      </c>
      <c r="J438">
        <v>120000</v>
      </c>
      <c r="K438">
        <v>10</v>
      </c>
      <c r="L438">
        <v>1080000</v>
      </c>
      <c r="M438" s="7">
        <v>972000</v>
      </c>
      <c r="N438" s="19">
        <f t="shared" si="26"/>
        <v>8586000</v>
      </c>
      <c r="O438" t="str">
        <f t="shared" si="27"/>
        <v>Normal</v>
      </c>
      <c r="P438">
        <f>_xlfn.XLOOKUP(E438,Products_Master!B:B,Products_Master!D:D)</f>
        <v>18000</v>
      </c>
    </row>
    <row r="439" spans="1:16" x14ac:dyDescent="0.35">
      <c r="A439" t="s">
        <v>471</v>
      </c>
      <c r="B439" s="5">
        <v>45751</v>
      </c>
      <c r="C439" s="2" t="str">
        <f t="shared" si="24"/>
        <v>April</v>
      </c>
      <c r="D439" s="2" t="str">
        <f t="shared" si="25"/>
        <v>2025</v>
      </c>
      <c r="E439" t="s">
        <v>36</v>
      </c>
      <c r="F439" t="s">
        <v>18</v>
      </c>
      <c r="G439" t="s">
        <v>19</v>
      </c>
      <c r="H439" t="s">
        <v>15</v>
      </c>
      <c r="I439">
        <v>6</v>
      </c>
      <c r="J439">
        <v>8000</v>
      </c>
      <c r="K439">
        <v>15</v>
      </c>
      <c r="L439">
        <v>48000</v>
      </c>
      <c r="M439" s="7">
        <v>40800</v>
      </c>
      <c r="N439" s="19">
        <f t="shared" si="26"/>
        <v>240000</v>
      </c>
      <c r="O439" t="str">
        <f t="shared" si="27"/>
        <v>Normal</v>
      </c>
      <c r="P439">
        <f>_xlfn.XLOOKUP(E439,Products_Master!B:B,Products_Master!D:D)</f>
        <v>800</v>
      </c>
    </row>
    <row r="440" spans="1:16" x14ac:dyDescent="0.35">
      <c r="A440" t="s">
        <v>472</v>
      </c>
      <c r="B440" s="5">
        <v>45752</v>
      </c>
      <c r="C440" s="2" t="str">
        <f t="shared" si="24"/>
        <v>April</v>
      </c>
      <c r="D440" s="2" t="str">
        <f t="shared" si="25"/>
        <v>2025</v>
      </c>
      <c r="E440" t="s">
        <v>36</v>
      </c>
      <c r="F440" t="s">
        <v>13</v>
      </c>
      <c r="G440" t="s">
        <v>37</v>
      </c>
      <c r="H440" t="s">
        <v>32</v>
      </c>
      <c r="I440">
        <v>4</v>
      </c>
      <c r="J440">
        <v>85000</v>
      </c>
      <c r="K440">
        <v>0</v>
      </c>
      <c r="L440">
        <v>340000</v>
      </c>
      <c r="M440" s="7">
        <v>340000</v>
      </c>
      <c r="N440" s="19">
        <f t="shared" si="26"/>
        <v>1356800</v>
      </c>
      <c r="O440" t="str">
        <f t="shared" si="27"/>
        <v>Normal</v>
      </c>
      <c r="P440">
        <f>_xlfn.XLOOKUP(E440,Products_Master!B:B,Products_Master!D:D)</f>
        <v>800</v>
      </c>
    </row>
    <row r="441" spans="1:16" x14ac:dyDescent="0.35">
      <c r="A441" t="s">
        <v>473</v>
      </c>
      <c r="B441" s="5">
        <v>45754</v>
      </c>
      <c r="C441" s="2" t="str">
        <f t="shared" si="24"/>
        <v>April</v>
      </c>
      <c r="D441" s="2" t="str">
        <f t="shared" si="25"/>
        <v>2025</v>
      </c>
      <c r="E441" t="s">
        <v>36</v>
      </c>
      <c r="F441" t="s">
        <v>18</v>
      </c>
      <c r="G441" t="s">
        <v>39</v>
      </c>
      <c r="H441" t="s">
        <v>49</v>
      </c>
      <c r="I441">
        <v>2</v>
      </c>
      <c r="J441">
        <v>1500</v>
      </c>
      <c r="K441">
        <v>0</v>
      </c>
      <c r="L441">
        <v>3000</v>
      </c>
      <c r="M441" s="7">
        <v>3000</v>
      </c>
      <c r="N441" s="19">
        <f t="shared" si="26"/>
        <v>4400</v>
      </c>
      <c r="O441" t="str">
        <f t="shared" si="27"/>
        <v>Normal</v>
      </c>
      <c r="P441">
        <f>_xlfn.XLOOKUP(E441,Products_Master!B:B,Products_Master!D:D)</f>
        <v>800</v>
      </c>
    </row>
    <row r="442" spans="1:16" x14ac:dyDescent="0.35">
      <c r="A442" t="s">
        <v>474</v>
      </c>
      <c r="B442" s="5">
        <v>45756</v>
      </c>
      <c r="C442" s="2" t="str">
        <f t="shared" si="24"/>
        <v>April</v>
      </c>
      <c r="D442" s="2" t="str">
        <f t="shared" si="25"/>
        <v>2025</v>
      </c>
      <c r="E442" t="s">
        <v>17</v>
      </c>
      <c r="F442" t="s">
        <v>18</v>
      </c>
      <c r="G442" t="s">
        <v>39</v>
      </c>
      <c r="H442" t="s">
        <v>49</v>
      </c>
      <c r="I442">
        <v>3</v>
      </c>
      <c r="J442">
        <v>15000</v>
      </c>
      <c r="K442">
        <v>0</v>
      </c>
      <c r="L442">
        <v>45000</v>
      </c>
      <c r="M442" s="7">
        <v>45000</v>
      </c>
      <c r="N442" s="19">
        <f t="shared" si="26"/>
        <v>129000</v>
      </c>
      <c r="O442" t="str">
        <f t="shared" si="27"/>
        <v>Normal</v>
      </c>
      <c r="P442">
        <f>_xlfn.XLOOKUP(E442,Products_Master!B:B,Products_Master!D:D)</f>
        <v>2000</v>
      </c>
    </row>
    <row r="443" spans="1:16" x14ac:dyDescent="0.35">
      <c r="A443" t="s">
        <v>475</v>
      </c>
      <c r="B443" s="5">
        <v>45756</v>
      </c>
      <c r="C443" s="2" t="str">
        <f t="shared" si="24"/>
        <v>April</v>
      </c>
      <c r="D443" s="2" t="str">
        <f t="shared" si="25"/>
        <v>2025</v>
      </c>
      <c r="E443" t="s">
        <v>42</v>
      </c>
      <c r="F443" t="s">
        <v>18</v>
      </c>
      <c r="G443" t="s">
        <v>14</v>
      </c>
      <c r="H443" t="s">
        <v>40</v>
      </c>
      <c r="I443">
        <v>5</v>
      </c>
      <c r="J443">
        <v>15000</v>
      </c>
      <c r="K443">
        <v>0</v>
      </c>
      <c r="L443">
        <v>75000</v>
      </c>
      <c r="M443" s="7">
        <v>75000</v>
      </c>
      <c r="N443" s="19">
        <f t="shared" si="26"/>
        <v>372000</v>
      </c>
      <c r="O443" t="str">
        <f t="shared" si="27"/>
        <v>Normal</v>
      </c>
      <c r="P443">
        <f>_xlfn.XLOOKUP(E443,Products_Master!B:B,Products_Master!D:D)</f>
        <v>600</v>
      </c>
    </row>
    <row r="444" spans="1:16" x14ac:dyDescent="0.35">
      <c r="A444" t="s">
        <v>476</v>
      </c>
      <c r="B444" s="5">
        <v>45757</v>
      </c>
      <c r="C444" s="2" t="str">
        <f t="shared" si="24"/>
        <v>April</v>
      </c>
      <c r="D444" s="2" t="str">
        <f t="shared" si="25"/>
        <v>2025</v>
      </c>
      <c r="E444" t="s">
        <v>12</v>
      </c>
      <c r="F444" t="s">
        <v>13</v>
      </c>
      <c r="G444" t="s">
        <v>14</v>
      </c>
      <c r="H444" t="s">
        <v>32</v>
      </c>
      <c r="I444">
        <v>8</v>
      </c>
      <c r="J444">
        <v>45000</v>
      </c>
      <c r="K444">
        <v>10</v>
      </c>
      <c r="L444">
        <v>360000</v>
      </c>
      <c r="M444" s="7">
        <v>324000</v>
      </c>
      <c r="N444" s="19">
        <f t="shared" si="26"/>
        <v>2312000</v>
      </c>
      <c r="O444" t="str">
        <f t="shared" si="27"/>
        <v>Normal</v>
      </c>
      <c r="P444">
        <f>_xlfn.XLOOKUP(E444,Products_Master!B:B,Products_Master!D:D)</f>
        <v>35000</v>
      </c>
    </row>
    <row r="445" spans="1:16" x14ac:dyDescent="0.35">
      <c r="A445" t="s">
        <v>477</v>
      </c>
      <c r="B445" s="5">
        <v>45758</v>
      </c>
      <c r="C445" s="2" t="str">
        <f t="shared" si="24"/>
        <v>April</v>
      </c>
      <c r="D445" s="2" t="str">
        <f t="shared" si="25"/>
        <v>2025</v>
      </c>
      <c r="E445" t="s">
        <v>31</v>
      </c>
      <c r="F445" t="s">
        <v>13</v>
      </c>
      <c r="G445" t="s">
        <v>39</v>
      </c>
      <c r="H445" t="s">
        <v>25</v>
      </c>
      <c r="I445">
        <v>5</v>
      </c>
      <c r="J445">
        <v>15000</v>
      </c>
      <c r="K445">
        <v>0</v>
      </c>
      <c r="L445">
        <v>75000</v>
      </c>
      <c r="M445" s="7">
        <v>75000</v>
      </c>
      <c r="N445" s="19">
        <f t="shared" si="26"/>
        <v>300000</v>
      </c>
      <c r="O445" t="str">
        <f t="shared" si="27"/>
        <v>Normal</v>
      </c>
      <c r="P445">
        <f>_xlfn.XLOOKUP(E445,Products_Master!B:B,Products_Master!D:D)</f>
        <v>15000</v>
      </c>
    </row>
    <row r="446" spans="1:16" x14ac:dyDescent="0.35">
      <c r="A446" t="s">
        <v>478</v>
      </c>
      <c r="B446" s="5">
        <v>45759</v>
      </c>
      <c r="C446" s="2" t="str">
        <f t="shared" si="24"/>
        <v>April</v>
      </c>
      <c r="D446" s="2" t="str">
        <f t="shared" si="25"/>
        <v>2025</v>
      </c>
      <c r="E446" t="s">
        <v>42</v>
      </c>
      <c r="F446" t="s">
        <v>18</v>
      </c>
      <c r="G446" t="s">
        <v>21</v>
      </c>
      <c r="H446" t="s">
        <v>29</v>
      </c>
      <c r="I446">
        <v>2</v>
      </c>
      <c r="J446">
        <v>120000</v>
      </c>
      <c r="K446">
        <v>0</v>
      </c>
      <c r="L446">
        <v>240000</v>
      </c>
      <c r="M446" s="7">
        <v>240000</v>
      </c>
      <c r="N446" s="19">
        <f t="shared" si="26"/>
        <v>478800</v>
      </c>
      <c r="O446" t="str">
        <f t="shared" si="27"/>
        <v>Normal</v>
      </c>
      <c r="P446">
        <f>_xlfn.XLOOKUP(E446,Products_Master!B:B,Products_Master!D:D)</f>
        <v>600</v>
      </c>
    </row>
    <row r="447" spans="1:16" x14ac:dyDescent="0.35">
      <c r="A447" t="s">
        <v>479</v>
      </c>
      <c r="B447" s="5">
        <v>45760</v>
      </c>
      <c r="C447" s="2" t="str">
        <f t="shared" si="24"/>
        <v>April</v>
      </c>
      <c r="D447" s="2" t="str">
        <f t="shared" si="25"/>
        <v>2025</v>
      </c>
      <c r="E447" t="s">
        <v>54</v>
      </c>
      <c r="F447" t="s">
        <v>18</v>
      </c>
      <c r="G447" t="s">
        <v>24</v>
      </c>
      <c r="H447" t="s">
        <v>25</v>
      </c>
      <c r="I447">
        <v>7</v>
      </c>
      <c r="J447">
        <v>2500</v>
      </c>
      <c r="K447">
        <v>0</v>
      </c>
      <c r="L447">
        <v>17500</v>
      </c>
      <c r="M447" s="7">
        <v>17500</v>
      </c>
      <c r="N447" s="19">
        <f t="shared" si="26"/>
        <v>-367500</v>
      </c>
      <c r="O447" t="str">
        <f t="shared" si="27"/>
        <v>Normal</v>
      </c>
      <c r="P447">
        <f>_xlfn.XLOOKUP(E447,Products_Master!B:B,Products_Master!D:D)</f>
        <v>70000</v>
      </c>
    </row>
    <row r="448" spans="1:16" x14ac:dyDescent="0.35">
      <c r="A448" t="s">
        <v>480</v>
      </c>
      <c r="B448" s="5">
        <v>45761</v>
      </c>
      <c r="C448" s="2" t="str">
        <f t="shared" si="24"/>
        <v>April</v>
      </c>
      <c r="D448" s="2" t="str">
        <f t="shared" si="25"/>
        <v>2025</v>
      </c>
      <c r="E448" t="s">
        <v>31</v>
      </c>
      <c r="F448" t="s">
        <v>18</v>
      </c>
      <c r="G448" t="s">
        <v>14</v>
      </c>
      <c r="H448" t="s">
        <v>49</v>
      </c>
      <c r="I448">
        <v>3</v>
      </c>
      <c r="J448">
        <v>1500</v>
      </c>
      <c r="K448">
        <v>15</v>
      </c>
      <c r="L448">
        <v>4500</v>
      </c>
      <c r="M448" s="7">
        <v>3825</v>
      </c>
      <c r="N448" s="19">
        <f t="shared" si="26"/>
        <v>-33525</v>
      </c>
      <c r="O448" t="str">
        <f t="shared" si="27"/>
        <v>Normal</v>
      </c>
      <c r="P448">
        <f>_xlfn.XLOOKUP(E448,Products_Master!B:B,Products_Master!D:D)</f>
        <v>15000</v>
      </c>
    </row>
    <row r="449" spans="1:16" x14ac:dyDescent="0.35">
      <c r="A449" t="s">
        <v>481</v>
      </c>
      <c r="B449" s="5">
        <v>45761</v>
      </c>
      <c r="C449" s="2" t="str">
        <f t="shared" si="24"/>
        <v>April</v>
      </c>
      <c r="D449" s="2" t="str">
        <f t="shared" si="25"/>
        <v>2025</v>
      </c>
      <c r="E449" t="s">
        <v>17</v>
      </c>
      <c r="F449" t="s">
        <v>13</v>
      </c>
      <c r="G449" t="s">
        <v>37</v>
      </c>
      <c r="H449" t="s">
        <v>25</v>
      </c>
      <c r="I449">
        <v>1</v>
      </c>
      <c r="J449">
        <v>8000</v>
      </c>
      <c r="K449">
        <v>0</v>
      </c>
      <c r="L449">
        <v>8000</v>
      </c>
      <c r="M449" s="7">
        <v>8000</v>
      </c>
      <c r="N449" s="19">
        <f t="shared" si="26"/>
        <v>6000</v>
      </c>
      <c r="O449" t="str">
        <f t="shared" si="27"/>
        <v>Normal</v>
      </c>
      <c r="P449">
        <f>_xlfn.XLOOKUP(E449,Products_Master!B:B,Products_Master!D:D)</f>
        <v>2000</v>
      </c>
    </row>
    <row r="450" spans="1:16" x14ac:dyDescent="0.35">
      <c r="A450" t="s">
        <v>482</v>
      </c>
      <c r="B450" s="5">
        <v>45762</v>
      </c>
      <c r="C450" s="2" t="str">
        <f t="shared" si="24"/>
        <v>April</v>
      </c>
      <c r="D450" s="2" t="str">
        <f t="shared" si="25"/>
        <v>2025</v>
      </c>
      <c r="E450" t="s">
        <v>54</v>
      </c>
      <c r="F450" t="s">
        <v>13</v>
      </c>
      <c r="G450" t="s">
        <v>24</v>
      </c>
      <c r="H450" t="s">
        <v>25</v>
      </c>
      <c r="I450">
        <v>2</v>
      </c>
      <c r="J450">
        <v>45000</v>
      </c>
      <c r="K450">
        <v>10</v>
      </c>
      <c r="L450">
        <v>90000</v>
      </c>
      <c r="M450" s="7">
        <v>81000</v>
      </c>
      <c r="N450" s="19">
        <f t="shared" si="26"/>
        <v>22000</v>
      </c>
      <c r="O450" t="str">
        <f t="shared" si="27"/>
        <v>Normal</v>
      </c>
      <c r="P450">
        <f>_xlfn.XLOOKUP(E450,Products_Master!B:B,Products_Master!D:D)</f>
        <v>70000</v>
      </c>
    </row>
    <row r="451" spans="1:16" x14ac:dyDescent="0.35">
      <c r="A451" t="s">
        <v>483</v>
      </c>
      <c r="B451" s="5">
        <v>45763</v>
      </c>
      <c r="C451" s="2" t="str">
        <f t="shared" ref="C451:C501" si="28">TEXT(B451,"MMMM")</f>
        <v>April</v>
      </c>
      <c r="D451" s="2" t="str">
        <f t="shared" ref="D451:D501" si="29">TEXT(B451,"yyy")</f>
        <v>2025</v>
      </c>
      <c r="E451" t="s">
        <v>31</v>
      </c>
      <c r="F451" t="s">
        <v>13</v>
      </c>
      <c r="G451" t="s">
        <v>21</v>
      </c>
      <c r="H451" t="s">
        <v>29</v>
      </c>
      <c r="I451">
        <v>2</v>
      </c>
      <c r="J451">
        <v>120000</v>
      </c>
      <c r="K451">
        <v>0</v>
      </c>
      <c r="L451">
        <v>240000</v>
      </c>
      <c r="M451" s="7">
        <v>240000</v>
      </c>
      <c r="N451" s="19">
        <f t="shared" ref="N451:N501" si="30">(M451-P451)*I451</f>
        <v>450000</v>
      </c>
      <c r="O451" t="str">
        <f t="shared" ref="O451:O501" si="31">IF(K451=15%,"Very High ",IF(K451=10%,"High Discount","Normal"))</f>
        <v>Normal</v>
      </c>
      <c r="P451">
        <f>_xlfn.XLOOKUP(E451,Products_Master!B:B,Products_Master!D:D)</f>
        <v>15000</v>
      </c>
    </row>
    <row r="452" spans="1:16" x14ac:dyDescent="0.35">
      <c r="A452" t="s">
        <v>484</v>
      </c>
      <c r="B452" s="5">
        <v>45765</v>
      </c>
      <c r="C452" s="2" t="str">
        <f t="shared" si="28"/>
        <v>April</v>
      </c>
      <c r="D452" s="2" t="str">
        <f t="shared" si="29"/>
        <v>2025</v>
      </c>
      <c r="E452" t="s">
        <v>27</v>
      </c>
      <c r="F452" t="s">
        <v>18</v>
      </c>
      <c r="G452" t="s">
        <v>24</v>
      </c>
      <c r="H452" t="s">
        <v>34</v>
      </c>
      <c r="I452">
        <v>1</v>
      </c>
      <c r="J452">
        <v>15000</v>
      </c>
      <c r="K452">
        <v>0</v>
      </c>
      <c r="L452">
        <v>15000</v>
      </c>
      <c r="M452" s="7">
        <v>15000</v>
      </c>
      <c r="N452" s="19">
        <f t="shared" si="30"/>
        <v>14100</v>
      </c>
      <c r="O452" t="str">
        <f t="shared" si="31"/>
        <v>Normal</v>
      </c>
      <c r="P452">
        <f>_xlfn.XLOOKUP(E452,Products_Master!B:B,Products_Master!D:D)</f>
        <v>900</v>
      </c>
    </row>
    <row r="453" spans="1:16" x14ac:dyDescent="0.35">
      <c r="A453" t="s">
        <v>485</v>
      </c>
      <c r="B453" s="5">
        <v>45765</v>
      </c>
      <c r="C453" s="2" t="str">
        <f t="shared" si="28"/>
        <v>April</v>
      </c>
      <c r="D453" s="2" t="str">
        <f t="shared" si="29"/>
        <v>2025</v>
      </c>
      <c r="E453" t="s">
        <v>54</v>
      </c>
      <c r="F453" t="s">
        <v>18</v>
      </c>
      <c r="G453" t="s">
        <v>21</v>
      </c>
      <c r="H453" t="s">
        <v>29</v>
      </c>
      <c r="I453">
        <v>9</v>
      </c>
      <c r="J453">
        <v>2500</v>
      </c>
      <c r="K453">
        <v>5</v>
      </c>
      <c r="L453">
        <v>22500</v>
      </c>
      <c r="M453" s="7">
        <v>21375</v>
      </c>
      <c r="N453" s="19">
        <f t="shared" si="30"/>
        <v>-437625</v>
      </c>
      <c r="O453" t="str">
        <f t="shared" si="31"/>
        <v>Normal</v>
      </c>
      <c r="P453">
        <f>_xlfn.XLOOKUP(E453,Products_Master!B:B,Products_Master!D:D)</f>
        <v>70000</v>
      </c>
    </row>
    <row r="454" spans="1:16" x14ac:dyDescent="0.35">
      <c r="A454" t="s">
        <v>486</v>
      </c>
      <c r="B454" s="5">
        <v>45767</v>
      </c>
      <c r="C454" s="2" t="str">
        <f t="shared" si="28"/>
        <v>April</v>
      </c>
      <c r="D454" s="2" t="str">
        <f t="shared" si="29"/>
        <v>2025</v>
      </c>
      <c r="E454" t="s">
        <v>42</v>
      </c>
      <c r="F454" t="s">
        <v>18</v>
      </c>
      <c r="G454" t="s">
        <v>14</v>
      </c>
      <c r="H454" t="s">
        <v>40</v>
      </c>
      <c r="I454">
        <v>5</v>
      </c>
      <c r="J454">
        <v>120000</v>
      </c>
      <c r="K454">
        <v>0</v>
      </c>
      <c r="L454">
        <v>600000</v>
      </c>
      <c r="M454" s="7">
        <v>600000</v>
      </c>
      <c r="N454" s="19">
        <f t="shared" si="30"/>
        <v>2997000</v>
      </c>
      <c r="O454" t="str">
        <f t="shared" si="31"/>
        <v>Normal</v>
      </c>
      <c r="P454">
        <f>_xlfn.XLOOKUP(E454,Products_Master!B:B,Products_Master!D:D)</f>
        <v>600</v>
      </c>
    </row>
    <row r="455" spans="1:16" x14ac:dyDescent="0.35">
      <c r="A455" t="s">
        <v>487</v>
      </c>
      <c r="B455" s="5">
        <v>45767</v>
      </c>
      <c r="C455" s="2" t="str">
        <f t="shared" si="28"/>
        <v>April</v>
      </c>
      <c r="D455" s="2" t="str">
        <f t="shared" si="29"/>
        <v>2025</v>
      </c>
      <c r="E455" t="s">
        <v>42</v>
      </c>
      <c r="F455" t="s">
        <v>18</v>
      </c>
      <c r="G455" t="s">
        <v>37</v>
      </c>
      <c r="H455" t="s">
        <v>15</v>
      </c>
      <c r="I455">
        <v>4</v>
      </c>
      <c r="J455">
        <v>1500</v>
      </c>
      <c r="K455">
        <v>5</v>
      </c>
      <c r="L455">
        <v>6000</v>
      </c>
      <c r="M455" s="7">
        <v>5700</v>
      </c>
      <c r="N455" s="19">
        <f t="shared" si="30"/>
        <v>20400</v>
      </c>
      <c r="O455" t="str">
        <f t="shared" si="31"/>
        <v>Normal</v>
      </c>
      <c r="P455">
        <f>_xlfn.XLOOKUP(E455,Products_Master!B:B,Products_Master!D:D)</f>
        <v>600</v>
      </c>
    </row>
    <row r="456" spans="1:16" x14ac:dyDescent="0.35">
      <c r="A456" t="s">
        <v>488</v>
      </c>
      <c r="B456" s="5">
        <v>45768</v>
      </c>
      <c r="C456" s="2" t="str">
        <f t="shared" si="28"/>
        <v>April</v>
      </c>
      <c r="D456" s="2" t="str">
        <f t="shared" si="29"/>
        <v>2025</v>
      </c>
      <c r="E456" t="s">
        <v>31</v>
      </c>
      <c r="F456" t="s">
        <v>13</v>
      </c>
      <c r="G456" t="s">
        <v>24</v>
      </c>
      <c r="H456" t="s">
        <v>29</v>
      </c>
      <c r="I456">
        <v>5</v>
      </c>
      <c r="J456">
        <v>45000</v>
      </c>
      <c r="K456">
        <v>5</v>
      </c>
      <c r="L456">
        <v>225000</v>
      </c>
      <c r="M456" s="7">
        <v>213750</v>
      </c>
      <c r="N456" s="19">
        <f t="shared" si="30"/>
        <v>993750</v>
      </c>
      <c r="O456" t="str">
        <f t="shared" si="31"/>
        <v>Normal</v>
      </c>
      <c r="P456">
        <f>_xlfn.XLOOKUP(E456,Products_Master!B:B,Products_Master!D:D)</f>
        <v>15000</v>
      </c>
    </row>
    <row r="457" spans="1:16" x14ac:dyDescent="0.35">
      <c r="A457" t="s">
        <v>489</v>
      </c>
      <c r="B457" s="5">
        <v>45769</v>
      </c>
      <c r="C457" s="2" t="str">
        <f t="shared" si="28"/>
        <v>April</v>
      </c>
      <c r="D457" s="2" t="str">
        <f t="shared" si="29"/>
        <v>2025</v>
      </c>
      <c r="E457" t="s">
        <v>17</v>
      </c>
      <c r="F457" t="s">
        <v>18</v>
      </c>
      <c r="G457" t="s">
        <v>14</v>
      </c>
      <c r="H457" t="s">
        <v>25</v>
      </c>
      <c r="I457">
        <v>8</v>
      </c>
      <c r="J457">
        <v>8000</v>
      </c>
      <c r="K457">
        <v>0</v>
      </c>
      <c r="L457">
        <v>64000</v>
      </c>
      <c r="M457" s="7">
        <v>64000</v>
      </c>
      <c r="N457" s="19">
        <f t="shared" si="30"/>
        <v>496000</v>
      </c>
      <c r="O457" t="str">
        <f t="shared" si="31"/>
        <v>Normal</v>
      </c>
      <c r="P457">
        <f>_xlfn.XLOOKUP(E457,Products_Master!B:B,Products_Master!D:D)</f>
        <v>2000</v>
      </c>
    </row>
    <row r="458" spans="1:16" x14ac:dyDescent="0.35">
      <c r="A458" t="s">
        <v>490</v>
      </c>
      <c r="B458" s="5">
        <v>45770</v>
      </c>
      <c r="C458" s="2" t="str">
        <f t="shared" si="28"/>
        <v>April</v>
      </c>
      <c r="D458" s="2" t="str">
        <f t="shared" si="29"/>
        <v>2025</v>
      </c>
      <c r="E458" t="s">
        <v>27</v>
      </c>
      <c r="F458" t="s">
        <v>13</v>
      </c>
      <c r="G458" t="s">
        <v>39</v>
      </c>
      <c r="H458" t="s">
        <v>49</v>
      </c>
      <c r="I458">
        <v>7</v>
      </c>
      <c r="J458">
        <v>120000</v>
      </c>
      <c r="K458">
        <v>0</v>
      </c>
      <c r="L458">
        <v>840000</v>
      </c>
      <c r="M458" s="7">
        <v>840000</v>
      </c>
      <c r="N458" s="19">
        <f t="shared" si="30"/>
        <v>5873700</v>
      </c>
      <c r="O458" t="str">
        <f t="shared" si="31"/>
        <v>Normal</v>
      </c>
      <c r="P458">
        <f>_xlfn.XLOOKUP(E458,Products_Master!B:B,Products_Master!D:D)</f>
        <v>900</v>
      </c>
    </row>
    <row r="459" spans="1:16" x14ac:dyDescent="0.35">
      <c r="A459" t="s">
        <v>491</v>
      </c>
      <c r="B459" s="5">
        <v>45771</v>
      </c>
      <c r="C459" s="2" t="str">
        <f t="shared" si="28"/>
        <v>April</v>
      </c>
      <c r="D459" s="2" t="str">
        <f t="shared" si="29"/>
        <v>2025</v>
      </c>
      <c r="E459" t="s">
        <v>17</v>
      </c>
      <c r="F459" t="s">
        <v>18</v>
      </c>
      <c r="G459" t="s">
        <v>37</v>
      </c>
      <c r="H459" t="s">
        <v>32</v>
      </c>
      <c r="I459">
        <v>9</v>
      </c>
      <c r="J459">
        <v>120000</v>
      </c>
      <c r="K459">
        <v>5</v>
      </c>
      <c r="L459">
        <v>1080000</v>
      </c>
      <c r="M459" s="7">
        <v>1026000</v>
      </c>
      <c r="N459" s="19">
        <f t="shared" si="30"/>
        <v>9216000</v>
      </c>
      <c r="O459" t="str">
        <f t="shared" si="31"/>
        <v>Normal</v>
      </c>
      <c r="P459">
        <f>_xlfn.XLOOKUP(E459,Products_Master!B:B,Products_Master!D:D)</f>
        <v>2000</v>
      </c>
    </row>
    <row r="460" spans="1:16" x14ac:dyDescent="0.35">
      <c r="A460" t="s">
        <v>492</v>
      </c>
      <c r="B460" s="5">
        <v>45773</v>
      </c>
      <c r="C460" s="2" t="str">
        <f t="shared" si="28"/>
        <v>April</v>
      </c>
      <c r="D460" s="2" t="str">
        <f t="shared" si="29"/>
        <v>2025</v>
      </c>
      <c r="E460" t="s">
        <v>27</v>
      </c>
      <c r="F460" t="s">
        <v>13</v>
      </c>
      <c r="G460" t="s">
        <v>19</v>
      </c>
      <c r="H460" t="s">
        <v>29</v>
      </c>
      <c r="I460">
        <v>9</v>
      </c>
      <c r="J460">
        <v>120000</v>
      </c>
      <c r="K460">
        <v>15</v>
      </c>
      <c r="L460">
        <v>1080000</v>
      </c>
      <c r="M460" s="7">
        <v>918000</v>
      </c>
      <c r="N460" s="19">
        <f t="shared" si="30"/>
        <v>8253900</v>
      </c>
      <c r="O460" t="str">
        <f t="shared" si="31"/>
        <v>Normal</v>
      </c>
      <c r="P460">
        <f>_xlfn.XLOOKUP(E460,Products_Master!B:B,Products_Master!D:D)</f>
        <v>900</v>
      </c>
    </row>
    <row r="461" spans="1:16" x14ac:dyDescent="0.35">
      <c r="A461" t="s">
        <v>493</v>
      </c>
      <c r="B461" s="5">
        <v>45776</v>
      </c>
      <c r="C461" s="2" t="str">
        <f t="shared" si="28"/>
        <v>April</v>
      </c>
      <c r="D461" s="2" t="str">
        <f t="shared" si="29"/>
        <v>2025</v>
      </c>
      <c r="E461" t="s">
        <v>23</v>
      </c>
      <c r="F461" t="s">
        <v>18</v>
      </c>
      <c r="G461" t="s">
        <v>24</v>
      </c>
      <c r="H461" t="s">
        <v>40</v>
      </c>
      <c r="I461">
        <v>1</v>
      </c>
      <c r="J461">
        <v>2500</v>
      </c>
      <c r="K461">
        <v>0</v>
      </c>
      <c r="L461">
        <v>2500</v>
      </c>
      <c r="M461" s="7">
        <v>2500</v>
      </c>
      <c r="N461" s="19">
        <f t="shared" si="30"/>
        <v>-15500</v>
      </c>
      <c r="O461" t="str">
        <f t="shared" si="31"/>
        <v>Normal</v>
      </c>
      <c r="P461">
        <f>_xlfn.XLOOKUP(E461,Products_Master!B:B,Products_Master!D:D)</f>
        <v>18000</v>
      </c>
    </row>
    <row r="462" spans="1:16" x14ac:dyDescent="0.35">
      <c r="A462" t="s">
        <v>494</v>
      </c>
      <c r="B462" s="5">
        <v>45776</v>
      </c>
      <c r="C462" s="2" t="str">
        <f t="shared" si="28"/>
        <v>April</v>
      </c>
      <c r="D462" s="2" t="str">
        <f t="shared" si="29"/>
        <v>2025</v>
      </c>
      <c r="E462" t="s">
        <v>36</v>
      </c>
      <c r="F462" t="s">
        <v>18</v>
      </c>
      <c r="G462" t="s">
        <v>39</v>
      </c>
      <c r="H462" t="s">
        <v>29</v>
      </c>
      <c r="I462">
        <v>9</v>
      </c>
      <c r="J462">
        <v>8000</v>
      </c>
      <c r="K462">
        <v>0</v>
      </c>
      <c r="L462">
        <v>72000</v>
      </c>
      <c r="M462" s="7">
        <v>72000</v>
      </c>
      <c r="N462" s="19">
        <f t="shared" si="30"/>
        <v>640800</v>
      </c>
      <c r="O462" t="str">
        <f t="shared" si="31"/>
        <v>Normal</v>
      </c>
      <c r="P462">
        <f>_xlfn.XLOOKUP(E462,Products_Master!B:B,Products_Master!D:D)</f>
        <v>800</v>
      </c>
    </row>
    <row r="463" spans="1:16" x14ac:dyDescent="0.35">
      <c r="A463" t="s">
        <v>495</v>
      </c>
      <c r="B463" s="5">
        <v>45776</v>
      </c>
      <c r="C463" s="2" t="str">
        <f t="shared" si="28"/>
        <v>April</v>
      </c>
      <c r="D463" s="2" t="str">
        <f t="shared" si="29"/>
        <v>2025</v>
      </c>
      <c r="E463" t="s">
        <v>23</v>
      </c>
      <c r="F463" t="s">
        <v>18</v>
      </c>
      <c r="G463" t="s">
        <v>19</v>
      </c>
      <c r="H463" t="s">
        <v>40</v>
      </c>
      <c r="I463">
        <v>2</v>
      </c>
      <c r="J463">
        <v>2500</v>
      </c>
      <c r="K463">
        <v>5</v>
      </c>
      <c r="L463">
        <v>5000</v>
      </c>
      <c r="M463" s="7">
        <v>4750</v>
      </c>
      <c r="N463" s="19">
        <f t="shared" si="30"/>
        <v>-26500</v>
      </c>
      <c r="O463" t="str">
        <f t="shared" si="31"/>
        <v>Normal</v>
      </c>
      <c r="P463">
        <f>_xlfn.XLOOKUP(E463,Products_Master!B:B,Products_Master!D:D)</f>
        <v>18000</v>
      </c>
    </row>
    <row r="464" spans="1:16" x14ac:dyDescent="0.35">
      <c r="A464" t="s">
        <v>496</v>
      </c>
      <c r="B464" s="5">
        <v>45778</v>
      </c>
      <c r="C464" s="2" t="str">
        <f t="shared" si="28"/>
        <v>May</v>
      </c>
      <c r="D464" s="2" t="str">
        <f t="shared" si="29"/>
        <v>2025</v>
      </c>
      <c r="E464" t="s">
        <v>12</v>
      </c>
      <c r="F464" t="s">
        <v>13</v>
      </c>
      <c r="G464" t="s">
        <v>14</v>
      </c>
      <c r="H464" t="s">
        <v>32</v>
      </c>
      <c r="I464">
        <v>1</v>
      </c>
      <c r="J464">
        <v>2500</v>
      </c>
      <c r="K464">
        <v>0</v>
      </c>
      <c r="L464">
        <v>2500</v>
      </c>
      <c r="M464" s="7">
        <v>2500</v>
      </c>
      <c r="N464" s="19">
        <f t="shared" si="30"/>
        <v>-32500</v>
      </c>
      <c r="O464" t="str">
        <f t="shared" si="31"/>
        <v>Normal</v>
      </c>
      <c r="P464">
        <f>_xlfn.XLOOKUP(E464,Products_Master!B:B,Products_Master!D:D)</f>
        <v>35000</v>
      </c>
    </row>
    <row r="465" spans="1:16" x14ac:dyDescent="0.35">
      <c r="A465" t="s">
        <v>497</v>
      </c>
      <c r="B465" s="5">
        <v>45778</v>
      </c>
      <c r="C465" s="2" t="str">
        <f t="shared" si="28"/>
        <v>May</v>
      </c>
      <c r="D465" s="2" t="str">
        <f t="shared" si="29"/>
        <v>2025</v>
      </c>
      <c r="E465" t="s">
        <v>42</v>
      </c>
      <c r="F465" t="s">
        <v>18</v>
      </c>
      <c r="G465" t="s">
        <v>21</v>
      </c>
      <c r="H465" t="s">
        <v>15</v>
      </c>
      <c r="I465">
        <v>5</v>
      </c>
      <c r="J465">
        <v>85000</v>
      </c>
      <c r="K465">
        <v>15</v>
      </c>
      <c r="L465">
        <v>425000</v>
      </c>
      <c r="M465" s="7">
        <v>361250</v>
      </c>
      <c r="N465" s="19">
        <f t="shared" si="30"/>
        <v>1803250</v>
      </c>
      <c r="O465" t="str">
        <f t="shared" si="31"/>
        <v>Normal</v>
      </c>
      <c r="P465">
        <f>_xlfn.XLOOKUP(E465,Products_Master!B:B,Products_Master!D:D)</f>
        <v>600</v>
      </c>
    </row>
    <row r="466" spans="1:16" x14ac:dyDescent="0.35">
      <c r="A466" t="s">
        <v>498</v>
      </c>
      <c r="B466" s="5">
        <v>45778</v>
      </c>
      <c r="C466" s="2" t="str">
        <f t="shared" si="28"/>
        <v>May</v>
      </c>
      <c r="D466" s="2" t="str">
        <f t="shared" si="29"/>
        <v>2025</v>
      </c>
      <c r="E466" t="s">
        <v>17</v>
      </c>
      <c r="F466" t="s">
        <v>18</v>
      </c>
      <c r="G466" t="s">
        <v>14</v>
      </c>
      <c r="H466" t="s">
        <v>29</v>
      </c>
      <c r="I466">
        <v>9</v>
      </c>
      <c r="J466">
        <v>15000</v>
      </c>
      <c r="K466">
        <v>0</v>
      </c>
      <c r="L466">
        <v>135000</v>
      </c>
      <c r="M466" s="7">
        <v>135000</v>
      </c>
      <c r="N466" s="19">
        <f t="shared" si="30"/>
        <v>1197000</v>
      </c>
      <c r="O466" t="str">
        <f t="shared" si="31"/>
        <v>Normal</v>
      </c>
      <c r="P466">
        <f>_xlfn.XLOOKUP(E466,Products_Master!B:B,Products_Master!D:D)</f>
        <v>2000</v>
      </c>
    </row>
    <row r="467" spans="1:16" x14ac:dyDescent="0.35">
      <c r="A467" t="s">
        <v>499</v>
      </c>
      <c r="B467" s="5">
        <v>45780</v>
      </c>
      <c r="C467" s="2" t="str">
        <f t="shared" si="28"/>
        <v>May</v>
      </c>
      <c r="D467" s="2" t="str">
        <f t="shared" si="29"/>
        <v>2025</v>
      </c>
      <c r="E467" t="s">
        <v>42</v>
      </c>
      <c r="F467" t="s">
        <v>13</v>
      </c>
      <c r="G467" t="s">
        <v>21</v>
      </c>
      <c r="H467" t="s">
        <v>34</v>
      </c>
      <c r="I467">
        <v>3</v>
      </c>
      <c r="J467">
        <v>45000</v>
      </c>
      <c r="K467">
        <v>0</v>
      </c>
      <c r="L467">
        <v>135000</v>
      </c>
      <c r="M467" s="7">
        <v>135000</v>
      </c>
      <c r="N467" s="19">
        <f t="shared" si="30"/>
        <v>403200</v>
      </c>
      <c r="O467" t="str">
        <f t="shared" si="31"/>
        <v>Normal</v>
      </c>
      <c r="P467">
        <f>_xlfn.XLOOKUP(E467,Products_Master!B:B,Products_Master!D:D)</f>
        <v>600</v>
      </c>
    </row>
    <row r="468" spans="1:16" x14ac:dyDescent="0.35">
      <c r="A468" t="s">
        <v>500</v>
      </c>
      <c r="B468" s="5">
        <v>45780</v>
      </c>
      <c r="C468" s="2" t="str">
        <f t="shared" si="28"/>
        <v>May</v>
      </c>
      <c r="D468" s="2" t="str">
        <f t="shared" si="29"/>
        <v>2025</v>
      </c>
      <c r="E468" t="s">
        <v>27</v>
      </c>
      <c r="F468" t="s">
        <v>13</v>
      </c>
      <c r="G468" t="s">
        <v>37</v>
      </c>
      <c r="H468" t="s">
        <v>49</v>
      </c>
      <c r="I468">
        <v>7</v>
      </c>
      <c r="J468">
        <v>120000</v>
      </c>
      <c r="K468">
        <v>5</v>
      </c>
      <c r="L468">
        <v>840000</v>
      </c>
      <c r="M468" s="7">
        <v>798000</v>
      </c>
      <c r="N468" s="19">
        <f t="shared" si="30"/>
        <v>5579700</v>
      </c>
      <c r="O468" t="str">
        <f t="shared" si="31"/>
        <v>Normal</v>
      </c>
      <c r="P468">
        <f>_xlfn.XLOOKUP(E468,Products_Master!B:B,Products_Master!D:D)</f>
        <v>900</v>
      </c>
    </row>
    <row r="469" spans="1:16" x14ac:dyDescent="0.35">
      <c r="A469" t="s">
        <v>501</v>
      </c>
      <c r="B469" s="5">
        <v>45784</v>
      </c>
      <c r="C469" s="2" t="str">
        <f t="shared" si="28"/>
        <v>May</v>
      </c>
      <c r="D469" s="2" t="str">
        <f t="shared" si="29"/>
        <v>2025</v>
      </c>
      <c r="E469" t="s">
        <v>36</v>
      </c>
      <c r="F469" t="s">
        <v>18</v>
      </c>
      <c r="G469" t="s">
        <v>24</v>
      </c>
      <c r="H469" t="s">
        <v>15</v>
      </c>
      <c r="I469">
        <v>9</v>
      </c>
      <c r="J469">
        <v>85000</v>
      </c>
      <c r="K469">
        <v>10</v>
      </c>
      <c r="L469">
        <v>765000</v>
      </c>
      <c r="M469" s="7">
        <v>688500</v>
      </c>
      <c r="N469" s="19">
        <f t="shared" si="30"/>
        <v>6189300</v>
      </c>
      <c r="O469" t="str">
        <f t="shared" si="31"/>
        <v>Normal</v>
      </c>
      <c r="P469">
        <f>_xlfn.XLOOKUP(E469,Products_Master!B:B,Products_Master!D:D)</f>
        <v>800</v>
      </c>
    </row>
    <row r="470" spans="1:16" x14ac:dyDescent="0.35">
      <c r="A470" t="s">
        <v>502</v>
      </c>
      <c r="B470" s="5">
        <v>45788</v>
      </c>
      <c r="C470" s="2" t="str">
        <f t="shared" si="28"/>
        <v>May</v>
      </c>
      <c r="D470" s="2" t="str">
        <f t="shared" si="29"/>
        <v>2025</v>
      </c>
      <c r="E470" t="s">
        <v>31</v>
      </c>
      <c r="F470" t="s">
        <v>13</v>
      </c>
      <c r="G470" t="s">
        <v>19</v>
      </c>
      <c r="H470" t="s">
        <v>40</v>
      </c>
      <c r="I470">
        <v>8</v>
      </c>
      <c r="J470">
        <v>2500</v>
      </c>
      <c r="K470">
        <v>10</v>
      </c>
      <c r="L470">
        <v>20000</v>
      </c>
      <c r="M470" s="7">
        <v>18000</v>
      </c>
      <c r="N470" s="19">
        <f t="shared" si="30"/>
        <v>24000</v>
      </c>
      <c r="O470" t="str">
        <f t="shared" si="31"/>
        <v>Normal</v>
      </c>
      <c r="P470">
        <f>_xlfn.XLOOKUP(E470,Products_Master!B:B,Products_Master!D:D)</f>
        <v>15000</v>
      </c>
    </row>
    <row r="471" spans="1:16" x14ac:dyDescent="0.35">
      <c r="A471" t="s">
        <v>503</v>
      </c>
      <c r="B471" s="5">
        <v>45789</v>
      </c>
      <c r="C471" s="2" t="str">
        <f t="shared" si="28"/>
        <v>May</v>
      </c>
      <c r="D471" s="2" t="str">
        <f t="shared" si="29"/>
        <v>2025</v>
      </c>
      <c r="E471" t="s">
        <v>27</v>
      </c>
      <c r="F471" t="s">
        <v>18</v>
      </c>
      <c r="G471" t="s">
        <v>24</v>
      </c>
      <c r="H471" t="s">
        <v>34</v>
      </c>
      <c r="I471">
        <v>5</v>
      </c>
      <c r="J471">
        <v>15000</v>
      </c>
      <c r="K471">
        <v>0</v>
      </c>
      <c r="L471">
        <v>75000</v>
      </c>
      <c r="M471" s="7">
        <v>75000</v>
      </c>
      <c r="N471" s="19">
        <f t="shared" si="30"/>
        <v>370500</v>
      </c>
      <c r="O471" t="str">
        <f t="shared" si="31"/>
        <v>Normal</v>
      </c>
      <c r="P471">
        <f>_xlfn.XLOOKUP(E471,Products_Master!B:B,Products_Master!D:D)</f>
        <v>900</v>
      </c>
    </row>
    <row r="472" spans="1:16" x14ac:dyDescent="0.35">
      <c r="A472" t="s">
        <v>504</v>
      </c>
      <c r="B472" s="5">
        <v>45789</v>
      </c>
      <c r="C472" s="2" t="str">
        <f t="shared" si="28"/>
        <v>May</v>
      </c>
      <c r="D472" s="2" t="str">
        <f t="shared" si="29"/>
        <v>2025</v>
      </c>
      <c r="E472" t="s">
        <v>31</v>
      </c>
      <c r="F472" t="s">
        <v>18</v>
      </c>
      <c r="G472" t="s">
        <v>24</v>
      </c>
      <c r="H472" t="s">
        <v>29</v>
      </c>
      <c r="I472">
        <v>6</v>
      </c>
      <c r="J472">
        <v>15000</v>
      </c>
      <c r="K472">
        <v>5</v>
      </c>
      <c r="L472">
        <v>90000</v>
      </c>
      <c r="M472" s="7">
        <v>85500</v>
      </c>
      <c r="N472" s="19">
        <f t="shared" si="30"/>
        <v>423000</v>
      </c>
      <c r="O472" t="str">
        <f t="shared" si="31"/>
        <v>Normal</v>
      </c>
      <c r="P472">
        <f>_xlfn.XLOOKUP(E472,Products_Master!B:B,Products_Master!D:D)</f>
        <v>15000</v>
      </c>
    </row>
    <row r="473" spans="1:16" x14ac:dyDescent="0.35">
      <c r="A473" t="s">
        <v>505</v>
      </c>
      <c r="B473" s="5">
        <v>45789</v>
      </c>
      <c r="C473" s="2" t="str">
        <f t="shared" si="28"/>
        <v>May</v>
      </c>
      <c r="D473" s="2" t="str">
        <f t="shared" si="29"/>
        <v>2025</v>
      </c>
      <c r="E473" t="s">
        <v>23</v>
      </c>
      <c r="F473" t="s">
        <v>18</v>
      </c>
      <c r="G473" t="s">
        <v>37</v>
      </c>
      <c r="H473" t="s">
        <v>32</v>
      </c>
      <c r="I473">
        <v>3</v>
      </c>
      <c r="J473">
        <v>85000</v>
      </c>
      <c r="K473">
        <v>0</v>
      </c>
      <c r="L473">
        <v>255000</v>
      </c>
      <c r="M473" s="7">
        <v>255000</v>
      </c>
      <c r="N473" s="19">
        <f t="shared" si="30"/>
        <v>711000</v>
      </c>
      <c r="O473" t="str">
        <f t="shared" si="31"/>
        <v>Normal</v>
      </c>
      <c r="P473">
        <f>_xlfn.XLOOKUP(E473,Products_Master!B:B,Products_Master!D:D)</f>
        <v>18000</v>
      </c>
    </row>
    <row r="474" spans="1:16" x14ac:dyDescent="0.35">
      <c r="A474" t="s">
        <v>506</v>
      </c>
      <c r="B474" s="5">
        <v>45790</v>
      </c>
      <c r="C474" s="2" t="str">
        <f t="shared" si="28"/>
        <v>May</v>
      </c>
      <c r="D474" s="2" t="str">
        <f t="shared" si="29"/>
        <v>2025</v>
      </c>
      <c r="E474" t="s">
        <v>42</v>
      </c>
      <c r="F474" t="s">
        <v>13</v>
      </c>
      <c r="G474" t="s">
        <v>37</v>
      </c>
      <c r="H474" t="s">
        <v>40</v>
      </c>
      <c r="I474">
        <v>7</v>
      </c>
      <c r="J474">
        <v>45000</v>
      </c>
      <c r="K474">
        <v>0</v>
      </c>
      <c r="L474">
        <v>315000</v>
      </c>
      <c r="M474" s="7">
        <v>315000</v>
      </c>
      <c r="N474" s="19">
        <f t="shared" si="30"/>
        <v>2200800</v>
      </c>
      <c r="O474" t="str">
        <f t="shared" si="31"/>
        <v>Normal</v>
      </c>
      <c r="P474">
        <f>_xlfn.XLOOKUP(E474,Products_Master!B:B,Products_Master!D:D)</f>
        <v>600</v>
      </c>
    </row>
    <row r="475" spans="1:16" x14ac:dyDescent="0.35">
      <c r="A475" t="s">
        <v>507</v>
      </c>
      <c r="B475" s="5">
        <v>45792</v>
      </c>
      <c r="C475" s="2" t="str">
        <f t="shared" si="28"/>
        <v>May</v>
      </c>
      <c r="D475" s="2" t="str">
        <f t="shared" si="29"/>
        <v>2025</v>
      </c>
      <c r="E475" t="s">
        <v>27</v>
      </c>
      <c r="F475" t="s">
        <v>13</v>
      </c>
      <c r="G475" t="s">
        <v>24</v>
      </c>
      <c r="H475" t="s">
        <v>49</v>
      </c>
      <c r="I475">
        <v>1</v>
      </c>
      <c r="J475">
        <v>45000</v>
      </c>
      <c r="K475">
        <v>10</v>
      </c>
      <c r="L475">
        <v>45000</v>
      </c>
      <c r="M475" s="7">
        <v>40500</v>
      </c>
      <c r="N475" s="19">
        <f t="shared" si="30"/>
        <v>39600</v>
      </c>
      <c r="O475" t="str">
        <f t="shared" si="31"/>
        <v>Normal</v>
      </c>
      <c r="P475">
        <f>_xlfn.XLOOKUP(E475,Products_Master!B:B,Products_Master!D:D)</f>
        <v>900</v>
      </c>
    </row>
    <row r="476" spans="1:16" x14ac:dyDescent="0.35">
      <c r="A476" t="s">
        <v>508</v>
      </c>
      <c r="B476" s="5">
        <v>45792</v>
      </c>
      <c r="C476" s="2" t="str">
        <f t="shared" si="28"/>
        <v>May</v>
      </c>
      <c r="D476" s="2" t="str">
        <f t="shared" si="29"/>
        <v>2025</v>
      </c>
      <c r="E476" t="s">
        <v>17</v>
      </c>
      <c r="F476" t="s">
        <v>13</v>
      </c>
      <c r="G476" t="s">
        <v>37</v>
      </c>
      <c r="H476" t="s">
        <v>32</v>
      </c>
      <c r="I476">
        <v>2</v>
      </c>
      <c r="J476">
        <v>45000</v>
      </c>
      <c r="K476">
        <v>0</v>
      </c>
      <c r="L476">
        <v>90000</v>
      </c>
      <c r="M476" s="7">
        <v>90000</v>
      </c>
      <c r="N476" s="19">
        <f t="shared" si="30"/>
        <v>176000</v>
      </c>
      <c r="O476" t="str">
        <f t="shared" si="31"/>
        <v>Normal</v>
      </c>
      <c r="P476">
        <f>_xlfn.XLOOKUP(E476,Products_Master!B:B,Products_Master!D:D)</f>
        <v>2000</v>
      </c>
    </row>
    <row r="477" spans="1:16" x14ac:dyDescent="0.35">
      <c r="A477" t="s">
        <v>509</v>
      </c>
      <c r="B477" s="5">
        <v>45797</v>
      </c>
      <c r="C477" s="2" t="str">
        <f t="shared" si="28"/>
        <v>May</v>
      </c>
      <c r="D477" s="2" t="str">
        <f t="shared" si="29"/>
        <v>2025</v>
      </c>
      <c r="E477" t="s">
        <v>42</v>
      </c>
      <c r="F477" t="s">
        <v>18</v>
      </c>
      <c r="G477" t="s">
        <v>39</v>
      </c>
      <c r="H477" t="s">
        <v>49</v>
      </c>
      <c r="I477">
        <v>7</v>
      </c>
      <c r="J477">
        <v>85000</v>
      </c>
      <c r="K477">
        <v>0</v>
      </c>
      <c r="L477">
        <v>595000</v>
      </c>
      <c r="M477" s="7">
        <v>595000</v>
      </c>
      <c r="N477" s="19">
        <f t="shared" si="30"/>
        <v>4160800</v>
      </c>
      <c r="O477" t="str">
        <f t="shared" si="31"/>
        <v>Normal</v>
      </c>
      <c r="P477">
        <f>_xlfn.XLOOKUP(E477,Products_Master!B:B,Products_Master!D:D)</f>
        <v>600</v>
      </c>
    </row>
    <row r="478" spans="1:16" x14ac:dyDescent="0.35">
      <c r="A478" t="s">
        <v>510</v>
      </c>
      <c r="B478" s="5">
        <v>45798</v>
      </c>
      <c r="C478" s="2" t="str">
        <f t="shared" si="28"/>
        <v>May</v>
      </c>
      <c r="D478" s="2" t="str">
        <f t="shared" si="29"/>
        <v>2025</v>
      </c>
      <c r="E478" t="s">
        <v>31</v>
      </c>
      <c r="F478" t="s">
        <v>13</v>
      </c>
      <c r="G478" t="s">
        <v>37</v>
      </c>
      <c r="H478" t="s">
        <v>25</v>
      </c>
      <c r="I478">
        <v>7</v>
      </c>
      <c r="J478">
        <v>1500</v>
      </c>
      <c r="K478">
        <v>0</v>
      </c>
      <c r="L478">
        <v>10500</v>
      </c>
      <c r="M478" s="7">
        <v>10500</v>
      </c>
      <c r="N478" s="19">
        <f t="shared" si="30"/>
        <v>-31500</v>
      </c>
      <c r="O478" t="str">
        <f t="shared" si="31"/>
        <v>Normal</v>
      </c>
      <c r="P478">
        <f>_xlfn.XLOOKUP(E478,Products_Master!B:B,Products_Master!D:D)</f>
        <v>15000</v>
      </c>
    </row>
    <row r="479" spans="1:16" x14ac:dyDescent="0.35">
      <c r="A479" t="s">
        <v>511</v>
      </c>
      <c r="B479" s="5">
        <v>45803</v>
      </c>
      <c r="C479" s="2" t="str">
        <f t="shared" si="28"/>
        <v>May</v>
      </c>
      <c r="D479" s="2" t="str">
        <f t="shared" si="29"/>
        <v>2025</v>
      </c>
      <c r="E479" t="s">
        <v>17</v>
      </c>
      <c r="F479" t="s">
        <v>18</v>
      </c>
      <c r="G479" t="s">
        <v>21</v>
      </c>
      <c r="H479" t="s">
        <v>34</v>
      </c>
      <c r="I479">
        <v>2</v>
      </c>
      <c r="J479">
        <v>45000</v>
      </c>
      <c r="K479">
        <v>5</v>
      </c>
      <c r="L479">
        <v>90000</v>
      </c>
      <c r="M479" s="7">
        <v>85500</v>
      </c>
      <c r="N479" s="19">
        <f t="shared" si="30"/>
        <v>167000</v>
      </c>
      <c r="O479" t="str">
        <f t="shared" si="31"/>
        <v>Normal</v>
      </c>
      <c r="P479">
        <f>_xlfn.XLOOKUP(E479,Products_Master!B:B,Products_Master!D:D)</f>
        <v>2000</v>
      </c>
    </row>
    <row r="480" spans="1:16" x14ac:dyDescent="0.35">
      <c r="A480" t="s">
        <v>512</v>
      </c>
      <c r="B480" s="5">
        <v>45804</v>
      </c>
      <c r="C480" s="2" t="str">
        <f t="shared" si="28"/>
        <v>May</v>
      </c>
      <c r="D480" s="2" t="str">
        <f t="shared" si="29"/>
        <v>2025</v>
      </c>
      <c r="E480" t="s">
        <v>54</v>
      </c>
      <c r="F480" t="s">
        <v>13</v>
      </c>
      <c r="G480" t="s">
        <v>21</v>
      </c>
      <c r="H480" t="s">
        <v>29</v>
      </c>
      <c r="I480">
        <v>6</v>
      </c>
      <c r="J480">
        <v>85000</v>
      </c>
      <c r="K480">
        <v>10</v>
      </c>
      <c r="L480">
        <v>510000</v>
      </c>
      <c r="M480" s="7">
        <v>459000</v>
      </c>
      <c r="N480" s="19">
        <f t="shared" si="30"/>
        <v>2334000</v>
      </c>
      <c r="O480" t="str">
        <f t="shared" si="31"/>
        <v>Normal</v>
      </c>
      <c r="P480">
        <f>_xlfn.XLOOKUP(E480,Products_Master!B:B,Products_Master!D:D)</f>
        <v>70000</v>
      </c>
    </row>
    <row r="481" spans="1:16" x14ac:dyDescent="0.35">
      <c r="A481" t="s">
        <v>513</v>
      </c>
      <c r="B481" s="5">
        <v>45806</v>
      </c>
      <c r="C481" s="2" t="str">
        <f t="shared" si="28"/>
        <v>May</v>
      </c>
      <c r="D481" s="2" t="str">
        <f t="shared" si="29"/>
        <v>2025</v>
      </c>
      <c r="E481" t="s">
        <v>23</v>
      </c>
      <c r="F481" t="s">
        <v>13</v>
      </c>
      <c r="G481" t="s">
        <v>37</v>
      </c>
      <c r="H481" t="s">
        <v>15</v>
      </c>
      <c r="I481">
        <v>3</v>
      </c>
      <c r="J481">
        <v>120000</v>
      </c>
      <c r="K481">
        <v>5</v>
      </c>
      <c r="L481">
        <v>360000</v>
      </c>
      <c r="M481" s="7">
        <v>342000</v>
      </c>
      <c r="N481" s="19">
        <f t="shared" si="30"/>
        <v>972000</v>
      </c>
      <c r="O481" t="str">
        <f t="shared" si="31"/>
        <v>Normal</v>
      </c>
      <c r="P481">
        <f>_xlfn.XLOOKUP(E481,Products_Master!B:B,Products_Master!D:D)</f>
        <v>18000</v>
      </c>
    </row>
    <row r="482" spans="1:16" x14ac:dyDescent="0.35">
      <c r="A482" t="s">
        <v>514</v>
      </c>
      <c r="B482" s="5">
        <v>45808</v>
      </c>
      <c r="C482" s="2" t="str">
        <f t="shared" si="28"/>
        <v>May</v>
      </c>
      <c r="D482" s="2" t="str">
        <f t="shared" si="29"/>
        <v>2025</v>
      </c>
      <c r="E482" t="s">
        <v>42</v>
      </c>
      <c r="F482" t="s">
        <v>18</v>
      </c>
      <c r="G482" t="s">
        <v>39</v>
      </c>
      <c r="H482" t="s">
        <v>15</v>
      </c>
      <c r="I482">
        <v>8</v>
      </c>
      <c r="J482">
        <v>45000</v>
      </c>
      <c r="K482">
        <v>10</v>
      </c>
      <c r="L482">
        <v>360000</v>
      </c>
      <c r="M482" s="7">
        <v>324000</v>
      </c>
      <c r="N482" s="19">
        <f t="shared" si="30"/>
        <v>2587200</v>
      </c>
      <c r="O482" t="str">
        <f t="shared" si="31"/>
        <v>Normal</v>
      </c>
      <c r="P482">
        <f>_xlfn.XLOOKUP(E482,Products_Master!B:B,Products_Master!D:D)</f>
        <v>600</v>
      </c>
    </row>
    <row r="483" spans="1:16" x14ac:dyDescent="0.35">
      <c r="A483" t="s">
        <v>515</v>
      </c>
      <c r="B483" s="5">
        <v>45809</v>
      </c>
      <c r="C483" s="2" t="str">
        <f t="shared" si="28"/>
        <v>June</v>
      </c>
      <c r="D483" s="2" t="str">
        <f t="shared" si="29"/>
        <v>2025</v>
      </c>
      <c r="E483" t="s">
        <v>42</v>
      </c>
      <c r="F483" t="s">
        <v>13</v>
      </c>
      <c r="G483" t="s">
        <v>14</v>
      </c>
      <c r="H483" t="s">
        <v>32</v>
      </c>
      <c r="I483">
        <v>5</v>
      </c>
      <c r="J483">
        <v>120000</v>
      </c>
      <c r="K483">
        <v>0</v>
      </c>
      <c r="L483">
        <v>600000</v>
      </c>
      <c r="M483" s="7">
        <v>600000</v>
      </c>
      <c r="N483" s="19">
        <f t="shared" si="30"/>
        <v>2997000</v>
      </c>
      <c r="O483" t="str">
        <f t="shared" si="31"/>
        <v>Normal</v>
      </c>
      <c r="P483">
        <f>_xlfn.XLOOKUP(E483,Products_Master!B:B,Products_Master!D:D)</f>
        <v>600</v>
      </c>
    </row>
    <row r="484" spans="1:16" x14ac:dyDescent="0.35">
      <c r="A484" t="s">
        <v>516</v>
      </c>
      <c r="B484" s="5">
        <v>45809</v>
      </c>
      <c r="C484" s="2" t="str">
        <f t="shared" si="28"/>
        <v>June</v>
      </c>
      <c r="D484" s="2" t="str">
        <f t="shared" si="29"/>
        <v>2025</v>
      </c>
      <c r="E484" t="s">
        <v>31</v>
      </c>
      <c r="F484" t="s">
        <v>18</v>
      </c>
      <c r="G484" t="s">
        <v>37</v>
      </c>
      <c r="H484" t="s">
        <v>15</v>
      </c>
      <c r="I484">
        <v>3</v>
      </c>
      <c r="J484">
        <v>85000</v>
      </c>
      <c r="K484">
        <v>10</v>
      </c>
      <c r="L484">
        <v>255000</v>
      </c>
      <c r="M484" s="7">
        <v>229500</v>
      </c>
      <c r="N484" s="19">
        <f t="shared" si="30"/>
        <v>643500</v>
      </c>
      <c r="O484" t="str">
        <f t="shared" si="31"/>
        <v>Normal</v>
      </c>
      <c r="P484">
        <f>_xlfn.XLOOKUP(E484,Products_Master!B:B,Products_Master!D:D)</f>
        <v>15000</v>
      </c>
    </row>
    <row r="485" spans="1:16" x14ac:dyDescent="0.35">
      <c r="A485" t="s">
        <v>517</v>
      </c>
      <c r="B485" s="5">
        <v>45810</v>
      </c>
      <c r="C485" s="2" t="str">
        <f t="shared" si="28"/>
        <v>June</v>
      </c>
      <c r="D485" s="2" t="str">
        <f t="shared" si="29"/>
        <v>2025</v>
      </c>
      <c r="E485" t="s">
        <v>31</v>
      </c>
      <c r="F485" t="s">
        <v>13</v>
      </c>
      <c r="G485" t="s">
        <v>14</v>
      </c>
      <c r="H485" t="s">
        <v>34</v>
      </c>
      <c r="I485">
        <v>1</v>
      </c>
      <c r="J485">
        <v>8000</v>
      </c>
      <c r="K485">
        <v>5</v>
      </c>
      <c r="L485">
        <v>8000</v>
      </c>
      <c r="M485" s="7">
        <v>7600</v>
      </c>
      <c r="N485" s="19">
        <f t="shared" si="30"/>
        <v>-7400</v>
      </c>
      <c r="O485" t="str">
        <f t="shared" si="31"/>
        <v>Normal</v>
      </c>
      <c r="P485">
        <f>_xlfn.XLOOKUP(E485,Products_Master!B:B,Products_Master!D:D)</f>
        <v>15000</v>
      </c>
    </row>
    <row r="486" spans="1:16" x14ac:dyDescent="0.35">
      <c r="A486" t="s">
        <v>518</v>
      </c>
      <c r="B486" s="5">
        <v>45811</v>
      </c>
      <c r="C486" s="2" t="str">
        <f t="shared" si="28"/>
        <v>June</v>
      </c>
      <c r="D486" s="2" t="str">
        <f t="shared" si="29"/>
        <v>2025</v>
      </c>
      <c r="E486" t="s">
        <v>31</v>
      </c>
      <c r="F486" t="s">
        <v>13</v>
      </c>
      <c r="G486" t="s">
        <v>19</v>
      </c>
      <c r="H486" t="s">
        <v>49</v>
      </c>
      <c r="I486">
        <v>5</v>
      </c>
      <c r="J486">
        <v>120000</v>
      </c>
      <c r="K486">
        <v>10</v>
      </c>
      <c r="L486">
        <v>600000</v>
      </c>
      <c r="M486" s="7">
        <v>540000</v>
      </c>
      <c r="N486" s="19">
        <f t="shared" si="30"/>
        <v>2625000</v>
      </c>
      <c r="O486" t="str">
        <f t="shared" si="31"/>
        <v>Normal</v>
      </c>
      <c r="P486">
        <f>_xlfn.XLOOKUP(E486,Products_Master!B:B,Products_Master!D:D)</f>
        <v>15000</v>
      </c>
    </row>
    <row r="487" spans="1:16" x14ac:dyDescent="0.35">
      <c r="A487" t="s">
        <v>519</v>
      </c>
      <c r="B487" s="5">
        <v>45811</v>
      </c>
      <c r="C487" s="2" t="str">
        <f t="shared" si="28"/>
        <v>June</v>
      </c>
      <c r="D487" s="2" t="str">
        <f t="shared" si="29"/>
        <v>2025</v>
      </c>
      <c r="E487" t="s">
        <v>36</v>
      </c>
      <c r="F487" t="s">
        <v>18</v>
      </c>
      <c r="G487" t="s">
        <v>37</v>
      </c>
      <c r="H487" t="s">
        <v>29</v>
      </c>
      <c r="I487">
        <v>1</v>
      </c>
      <c r="J487">
        <v>85000</v>
      </c>
      <c r="K487">
        <v>0</v>
      </c>
      <c r="L487">
        <v>85000</v>
      </c>
      <c r="M487" s="7">
        <v>85000</v>
      </c>
      <c r="N487" s="19">
        <f t="shared" si="30"/>
        <v>84200</v>
      </c>
      <c r="O487" t="str">
        <f t="shared" si="31"/>
        <v>Normal</v>
      </c>
      <c r="P487">
        <f>_xlfn.XLOOKUP(E487,Products_Master!B:B,Products_Master!D:D)</f>
        <v>800</v>
      </c>
    </row>
    <row r="488" spans="1:16" x14ac:dyDescent="0.35">
      <c r="A488" t="s">
        <v>520</v>
      </c>
      <c r="B488" s="5">
        <v>45811</v>
      </c>
      <c r="C488" s="2" t="str">
        <f t="shared" si="28"/>
        <v>June</v>
      </c>
      <c r="D488" s="2" t="str">
        <f t="shared" si="29"/>
        <v>2025</v>
      </c>
      <c r="E488" t="s">
        <v>31</v>
      </c>
      <c r="F488" t="s">
        <v>13</v>
      </c>
      <c r="G488" t="s">
        <v>39</v>
      </c>
      <c r="H488" t="s">
        <v>34</v>
      </c>
      <c r="I488">
        <v>9</v>
      </c>
      <c r="J488">
        <v>120000</v>
      </c>
      <c r="K488">
        <v>5</v>
      </c>
      <c r="L488">
        <v>1080000</v>
      </c>
      <c r="M488" s="7">
        <v>1026000</v>
      </c>
      <c r="N488" s="19">
        <f t="shared" si="30"/>
        <v>9099000</v>
      </c>
      <c r="O488" t="str">
        <f t="shared" si="31"/>
        <v>Normal</v>
      </c>
      <c r="P488">
        <f>_xlfn.XLOOKUP(E488,Products_Master!B:B,Products_Master!D:D)</f>
        <v>15000</v>
      </c>
    </row>
    <row r="489" spans="1:16" x14ac:dyDescent="0.35">
      <c r="A489" t="s">
        <v>521</v>
      </c>
      <c r="B489" s="5">
        <v>45812</v>
      </c>
      <c r="C489" s="2" t="str">
        <f t="shared" si="28"/>
        <v>June</v>
      </c>
      <c r="D489" s="2" t="str">
        <f t="shared" si="29"/>
        <v>2025</v>
      </c>
      <c r="E489" t="s">
        <v>27</v>
      </c>
      <c r="F489" t="s">
        <v>18</v>
      </c>
      <c r="G489" t="s">
        <v>19</v>
      </c>
      <c r="H489" t="s">
        <v>49</v>
      </c>
      <c r="I489">
        <v>1</v>
      </c>
      <c r="J489">
        <v>2500</v>
      </c>
      <c r="K489">
        <v>5</v>
      </c>
      <c r="L489">
        <v>2500</v>
      </c>
      <c r="M489" s="7">
        <v>2375</v>
      </c>
      <c r="N489" s="19">
        <f t="shared" si="30"/>
        <v>1475</v>
      </c>
      <c r="O489" t="str">
        <f t="shared" si="31"/>
        <v>Normal</v>
      </c>
      <c r="P489">
        <f>_xlfn.XLOOKUP(E489,Products_Master!B:B,Products_Master!D:D)</f>
        <v>900</v>
      </c>
    </row>
    <row r="490" spans="1:16" x14ac:dyDescent="0.35">
      <c r="A490" t="s">
        <v>522</v>
      </c>
      <c r="B490" s="5">
        <v>45813</v>
      </c>
      <c r="C490" s="2" t="str">
        <f t="shared" si="28"/>
        <v>June</v>
      </c>
      <c r="D490" s="2" t="str">
        <f t="shared" si="29"/>
        <v>2025</v>
      </c>
      <c r="E490" t="s">
        <v>12</v>
      </c>
      <c r="F490" t="s">
        <v>13</v>
      </c>
      <c r="G490" t="s">
        <v>39</v>
      </c>
      <c r="H490" t="s">
        <v>29</v>
      </c>
      <c r="I490">
        <v>4</v>
      </c>
      <c r="J490">
        <v>120000</v>
      </c>
      <c r="K490">
        <v>0</v>
      </c>
      <c r="L490">
        <v>480000</v>
      </c>
      <c r="M490" s="7">
        <v>480000</v>
      </c>
      <c r="N490" s="19">
        <f t="shared" si="30"/>
        <v>1780000</v>
      </c>
      <c r="O490" t="str">
        <f t="shared" si="31"/>
        <v>Normal</v>
      </c>
      <c r="P490">
        <f>_xlfn.XLOOKUP(E490,Products_Master!B:B,Products_Master!D:D)</f>
        <v>35000</v>
      </c>
    </row>
    <row r="491" spans="1:16" x14ac:dyDescent="0.35">
      <c r="A491" t="s">
        <v>523</v>
      </c>
      <c r="B491" s="5">
        <v>45813</v>
      </c>
      <c r="C491" s="2" t="str">
        <f t="shared" si="28"/>
        <v>June</v>
      </c>
      <c r="D491" s="2" t="str">
        <f t="shared" si="29"/>
        <v>2025</v>
      </c>
      <c r="E491" t="s">
        <v>54</v>
      </c>
      <c r="F491" t="s">
        <v>13</v>
      </c>
      <c r="G491" t="s">
        <v>37</v>
      </c>
      <c r="H491" t="s">
        <v>32</v>
      </c>
      <c r="I491">
        <v>8</v>
      </c>
      <c r="J491">
        <v>45000</v>
      </c>
      <c r="K491">
        <v>10</v>
      </c>
      <c r="L491">
        <v>360000</v>
      </c>
      <c r="M491" s="7">
        <v>324000</v>
      </c>
      <c r="N491" s="19">
        <f t="shared" si="30"/>
        <v>2032000</v>
      </c>
      <c r="O491" t="str">
        <f t="shared" si="31"/>
        <v>Normal</v>
      </c>
      <c r="P491">
        <f>_xlfn.XLOOKUP(E491,Products_Master!B:B,Products_Master!D:D)</f>
        <v>70000</v>
      </c>
    </row>
    <row r="492" spans="1:16" x14ac:dyDescent="0.35">
      <c r="A492" t="s">
        <v>524</v>
      </c>
      <c r="B492" s="5">
        <v>45815</v>
      </c>
      <c r="C492" s="2" t="str">
        <f t="shared" si="28"/>
        <v>June</v>
      </c>
      <c r="D492" s="2" t="str">
        <f t="shared" si="29"/>
        <v>2025</v>
      </c>
      <c r="E492" t="s">
        <v>17</v>
      </c>
      <c r="F492" t="s">
        <v>13</v>
      </c>
      <c r="G492" t="s">
        <v>24</v>
      </c>
      <c r="H492" t="s">
        <v>32</v>
      </c>
      <c r="I492">
        <v>8</v>
      </c>
      <c r="J492">
        <v>45000</v>
      </c>
      <c r="K492">
        <v>10</v>
      </c>
      <c r="L492">
        <v>360000</v>
      </c>
      <c r="M492" s="7">
        <v>324000</v>
      </c>
      <c r="N492" s="19">
        <f t="shared" si="30"/>
        <v>2576000</v>
      </c>
      <c r="O492" t="str">
        <f t="shared" si="31"/>
        <v>Normal</v>
      </c>
      <c r="P492">
        <f>_xlfn.XLOOKUP(E492,Products_Master!B:B,Products_Master!D:D)</f>
        <v>2000</v>
      </c>
    </row>
    <row r="493" spans="1:16" x14ac:dyDescent="0.35">
      <c r="A493" t="s">
        <v>525</v>
      </c>
      <c r="B493" s="5">
        <v>45815</v>
      </c>
      <c r="C493" s="2" t="str">
        <f t="shared" si="28"/>
        <v>June</v>
      </c>
      <c r="D493" s="2" t="str">
        <f t="shared" si="29"/>
        <v>2025</v>
      </c>
      <c r="E493" t="s">
        <v>54</v>
      </c>
      <c r="F493" t="s">
        <v>18</v>
      </c>
      <c r="G493" t="s">
        <v>14</v>
      </c>
      <c r="H493" t="s">
        <v>25</v>
      </c>
      <c r="I493">
        <v>3</v>
      </c>
      <c r="J493">
        <v>15000</v>
      </c>
      <c r="K493">
        <v>0</v>
      </c>
      <c r="L493">
        <v>45000</v>
      </c>
      <c r="M493" s="7">
        <v>45000</v>
      </c>
      <c r="N493" s="19">
        <f t="shared" si="30"/>
        <v>-75000</v>
      </c>
      <c r="O493" t="str">
        <f t="shared" si="31"/>
        <v>Normal</v>
      </c>
      <c r="P493">
        <f>_xlfn.XLOOKUP(E493,Products_Master!B:B,Products_Master!D:D)</f>
        <v>70000</v>
      </c>
    </row>
    <row r="494" spans="1:16" x14ac:dyDescent="0.35">
      <c r="A494" t="s">
        <v>526</v>
      </c>
      <c r="B494" s="5">
        <v>45818</v>
      </c>
      <c r="C494" s="2" t="str">
        <f t="shared" si="28"/>
        <v>June</v>
      </c>
      <c r="D494" s="2" t="str">
        <f t="shared" si="29"/>
        <v>2025</v>
      </c>
      <c r="E494" t="s">
        <v>36</v>
      </c>
      <c r="F494" t="s">
        <v>18</v>
      </c>
      <c r="G494" t="s">
        <v>37</v>
      </c>
      <c r="H494" t="s">
        <v>34</v>
      </c>
      <c r="I494">
        <v>9</v>
      </c>
      <c r="J494">
        <v>45000</v>
      </c>
      <c r="K494">
        <v>10</v>
      </c>
      <c r="L494">
        <v>405000</v>
      </c>
      <c r="M494" s="7">
        <v>364500</v>
      </c>
      <c r="N494" s="19">
        <f t="shared" si="30"/>
        <v>3273300</v>
      </c>
      <c r="O494" t="str">
        <f t="shared" si="31"/>
        <v>Normal</v>
      </c>
      <c r="P494">
        <f>_xlfn.XLOOKUP(E494,Products_Master!B:B,Products_Master!D:D)</f>
        <v>800</v>
      </c>
    </row>
    <row r="495" spans="1:16" x14ac:dyDescent="0.35">
      <c r="A495" t="s">
        <v>527</v>
      </c>
      <c r="B495" s="5">
        <v>45819</v>
      </c>
      <c r="C495" s="2" t="str">
        <f t="shared" si="28"/>
        <v>June</v>
      </c>
      <c r="D495" s="2" t="str">
        <f t="shared" si="29"/>
        <v>2025</v>
      </c>
      <c r="E495" t="s">
        <v>12</v>
      </c>
      <c r="F495" t="s">
        <v>13</v>
      </c>
      <c r="G495" t="s">
        <v>39</v>
      </c>
      <c r="H495" t="s">
        <v>25</v>
      </c>
      <c r="I495">
        <v>3</v>
      </c>
      <c r="J495">
        <v>120000</v>
      </c>
      <c r="K495">
        <v>5</v>
      </c>
      <c r="L495">
        <v>360000</v>
      </c>
      <c r="M495" s="7">
        <v>342000</v>
      </c>
      <c r="N495" s="19">
        <f t="shared" si="30"/>
        <v>921000</v>
      </c>
      <c r="O495" t="str">
        <f t="shared" si="31"/>
        <v>Normal</v>
      </c>
      <c r="P495">
        <f>_xlfn.XLOOKUP(E495,Products_Master!B:B,Products_Master!D:D)</f>
        <v>35000</v>
      </c>
    </row>
    <row r="496" spans="1:16" x14ac:dyDescent="0.35">
      <c r="A496" t="s">
        <v>528</v>
      </c>
      <c r="B496" s="5">
        <v>45821</v>
      </c>
      <c r="C496" s="2" t="str">
        <f t="shared" si="28"/>
        <v>June</v>
      </c>
      <c r="D496" s="2" t="str">
        <f t="shared" si="29"/>
        <v>2025</v>
      </c>
      <c r="E496" t="s">
        <v>23</v>
      </c>
      <c r="F496" t="s">
        <v>13</v>
      </c>
      <c r="G496" t="s">
        <v>39</v>
      </c>
      <c r="H496" t="s">
        <v>32</v>
      </c>
      <c r="I496">
        <v>5</v>
      </c>
      <c r="J496">
        <v>1500</v>
      </c>
      <c r="K496">
        <v>0</v>
      </c>
      <c r="L496">
        <v>7500</v>
      </c>
      <c r="M496" s="7">
        <v>7500</v>
      </c>
      <c r="N496" s="19">
        <f t="shared" si="30"/>
        <v>-52500</v>
      </c>
      <c r="O496" t="str">
        <f t="shared" si="31"/>
        <v>Normal</v>
      </c>
      <c r="P496">
        <f>_xlfn.XLOOKUP(E496,Products_Master!B:B,Products_Master!D:D)</f>
        <v>18000</v>
      </c>
    </row>
    <row r="497" spans="1:16" x14ac:dyDescent="0.35">
      <c r="A497" t="s">
        <v>529</v>
      </c>
      <c r="B497" s="5">
        <v>45822</v>
      </c>
      <c r="C497" s="2" t="str">
        <f t="shared" si="28"/>
        <v>June</v>
      </c>
      <c r="D497" s="2" t="str">
        <f t="shared" si="29"/>
        <v>2025</v>
      </c>
      <c r="E497" t="s">
        <v>23</v>
      </c>
      <c r="F497" t="s">
        <v>13</v>
      </c>
      <c r="G497" t="s">
        <v>19</v>
      </c>
      <c r="H497" t="s">
        <v>15</v>
      </c>
      <c r="I497">
        <v>3</v>
      </c>
      <c r="J497">
        <v>85000</v>
      </c>
      <c r="K497">
        <v>5</v>
      </c>
      <c r="L497">
        <v>255000</v>
      </c>
      <c r="M497" s="7">
        <v>242250</v>
      </c>
      <c r="N497" s="19">
        <f t="shared" si="30"/>
        <v>672750</v>
      </c>
      <c r="O497" t="str">
        <f t="shared" si="31"/>
        <v>Normal</v>
      </c>
      <c r="P497">
        <f>_xlfn.XLOOKUP(E497,Products_Master!B:B,Products_Master!D:D)</f>
        <v>18000</v>
      </c>
    </row>
    <row r="498" spans="1:16" x14ac:dyDescent="0.35">
      <c r="A498" t="s">
        <v>530</v>
      </c>
      <c r="B498" s="5">
        <v>45824</v>
      </c>
      <c r="C498" s="2" t="str">
        <f t="shared" si="28"/>
        <v>June</v>
      </c>
      <c r="D498" s="2" t="str">
        <f t="shared" si="29"/>
        <v>2025</v>
      </c>
      <c r="E498" t="s">
        <v>36</v>
      </c>
      <c r="F498" t="s">
        <v>18</v>
      </c>
      <c r="G498" t="s">
        <v>19</v>
      </c>
      <c r="H498" t="s">
        <v>34</v>
      </c>
      <c r="I498">
        <v>9</v>
      </c>
      <c r="J498">
        <v>8000</v>
      </c>
      <c r="K498">
        <v>0</v>
      </c>
      <c r="L498">
        <v>72000</v>
      </c>
      <c r="M498" s="7">
        <v>72000</v>
      </c>
      <c r="N498" s="19">
        <f t="shared" si="30"/>
        <v>640800</v>
      </c>
      <c r="O498" t="str">
        <f t="shared" si="31"/>
        <v>Normal</v>
      </c>
      <c r="P498">
        <f>_xlfn.XLOOKUP(E498,Products_Master!B:B,Products_Master!D:D)</f>
        <v>800</v>
      </c>
    </row>
    <row r="499" spans="1:16" x14ac:dyDescent="0.35">
      <c r="A499" t="s">
        <v>531</v>
      </c>
      <c r="B499" s="5">
        <v>45825</v>
      </c>
      <c r="C499" s="2" t="str">
        <f t="shared" si="28"/>
        <v>June</v>
      </c>
      <c r="D499" s="2" t="str">
        <f t="shared" si="29"/>
        <v>2025</v>
      </c>
      <c r="E499" t="s">
        <v>27</v>
      </c>
      <c r="F499" t="s">
        <v>13</v>
      </c>
      <c r="G499" t="s">
        <v>39</v>
      </c>
      <c r="H499" t="s">
        <v>29</v>
      </c>
      <c r="I499">
        <v>7</v>
      </c>
      <c r="J499">
        <v>15000</v>
      </c>
      <c r="K499">
        <v>15</v>
      </c>
      <c r="L499">
        <v>105000</v>
      </c>
      <c r="M499" s="7">
        <v>89250</v>
      </c>
      <c r="N499" s="19">
        <f t="shared" si="30"/>
        <v>618450</v>
      </c>
      <c r="O499" t="str">
        <f t="shared" si="31"/>
        <v>Normal</v>
      </c>
      <c r="P499">
        <f>_xlfn.XLOOKUP(E499,Products_Master!B:B,Products_Master!D:D)</f>
        <v>900</v>
      </c>
    </row>
    <row r="500" spans="1:16" x14ac:dyDescent="0.35">
      <c r="A500" t="s">
        <v>532</v>
      </c>
      <c r="B500" s="5">
        <v>45827</v>
      </c>
      <c r="C500" s="2" t="str">
        <f t="shared" si="28"/>
        <v>June</v>
      </c>
      <c r="D500" s="2" t="str">
        <f t="shared" si="29"/>
        <v>2025</v>
      </c>
      <c r="E500" t="s">
        <v>36</v>
      </c>
      <c r="F500" t="s">
        <v>18</v>
      </c>
      <c r="G500" t="s">
        <v>19</v>
      </c>
      <c r="H500" t="s">
        <v>15</v>
      </c>
      <c r="I500">
        <v>3</v>
      </c>
      <c r="J500">
        <v>120000</v>
      </c>
      <c r="K500">
        <v>0</v>
      </c>
      <c r="L500">
        <v>360000</v>
      </c>
      <c r="M500" s="7">
        <v>360000</v>
      </c>
      <c r="N500" s="19">
        <f t="shared" si="30"/>
        <v>1077600</v>
      </c>
      <c r="O500" t="str">
        <f t="shared" si="31"/>
        <v>Normal</v>
      </c>
      <c r="P500">
        <f>_xlfn.XLOOKUP(E500,Products_Master!B:B,Products_Master!D:D)</f>
        <v>800</v>
      </c>
    </row>
    <row r="501" spans="1:16" x14ac:dyDescent="0.35">
      <c r="A501" t="s">
        <v>533</v>
      </c>
      <c r="B501" s="5">
        <v>45832</v>
      </c>
      <c r="C501" s="2" t="str">
        <f t="shared" si="28"/>
        <v>June</v>
      </c>
      <c r="D501" s="2" t="str">
        <f t="shared" si="29"/>
        <v>2025</v>
      </c>
      <c r="E501" t="s">
        <v>27</v>
      </c>
      <c r="F501" t="s">
        <v>13</v>
      </c>
      <c r="G501" t="s">
        <v>21</v>
      </c>
      <c r="H501" t="s">
        <v>32</v>
      </c>
      <c r="I501">
        <v>4</v>
      </c>
      <c r="J501">
        <v>2500</v>
      </c>
      <c r="K501">
        <v>0</v>
      </c>
      <c r="L501">
        <v>10000</v>
      </c>
      <c r="M501" s="7">
        <v>10000</v>
      </c>
      <c r="N501" s="19">
        <f t="shared" si="30"/>
        <v>36400</v>
      </c>
      <c r="O501" t="str">
        <f t="shared" si="31"/>
        <v>Normal</v>
      </c>
      <c r="P501">
        <f>_xlfn.XLOOKUP(E501,Products_Master!B:B,Products_Master!D:D)</f>
        <v>900</v>
      </c>
    </row>
  </sheetData>
  <autoFilter ref="A1:O501" xr:uid="{00000000-0001-0000-0000-000000000000}"/>
  <conditionalFormatting sqref="M1:M1048576">
    <cfRule type="cellIs" dxfId="2" priority="3" operator="greaterThan">
      <formula>100000</formula>
    </cfRule>
  </conditionalFormatting>
  <conditionalFormatting sqref="N1:N1048576">
    <cfRule type="cellIs" dxfId="1" priority="1" operator="lessThan">
      <formula>0</formula>
    </cfRule>
    <cfRule type="cellIs" dxfId="0" priority="2" operator="greaterThan">
      <formula>0</formula>
    </cfRule>
  </conditionalFormatting>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selection activeCell="K2" sqref="K2:K6"/>
    </sheetView>
  </sheetViews>
  <sheetFormatPr defaultRowHeight="14.5" x14ac:dyDescent="0.35"/>
  <cols>
    <col min="1" max="1" width="8.1796875" bestFit="1" customWidth="1"/>
    <col min="2" max="2" width="13.08984375" bestFit="1" customWidth="1"/>
    <col min="3" max="3" width="11.08984375" bestFit="1" customWidth="1"/>
    <col min="4" max="4" width="17.81640625" style="5" bestFit="1" customWidth="1"/>
    <col min="5" max="5" width="10.36328125" bestFit="1" customWidth="1"/>
    <col min="6" max="6" width="16.26953125" bestFit="1" customWidth="1"/>
    <col min="7" max="7" width="9.6328125" bestFit="1" customWidth="1"/>
    <col min="8" max="8" width="10.453125" style="7" bestFit="1" customWidth="1"/>
    <col min="9" max="9" width="16.36328125" bestFit="1" customWidth="1"/>
    <col min="10" max="10" width="14.6328125" bestFit="1" customWidth="1"/>
    <col min="11" max="11" width="11.08984375" bestFit="1" customWidth="1"/>
  </cols>
  <sheetData>
    <row r="1" spans="1:11" x14ac:dyDescent="0.35">
      <c r="A1" s="1" t="s">
        <v>534</v>
      </c>
      <c r="B1" s="1" t="s">
        <v>535</v>
      </c>
      <c r="C1" s="1" t="s">
        <v>536</v>
      </c>
      <c r="D1" s="4" t="s">
        <v>537</v>
      </c>
      <c r="E1" s="1" t="s">
        <v>538</v>
      </c>
      <c r="F1" s="1" t="s">
        <v>539</v>
      </c>
      <c r="G1" s="1" t="s">
        <v>540</v>
      </c>
      <c r="H1" s="6" t="s">
        <v>1166</v>
      </c>
      <c r="I1" s="8" t="s">
        <v>1169</v>
      </c>
      <c r="J1" s="9" t="s">
        <v>1170</v>
      </c>
      <c r="K1" s="9" t="s">
        <v>1171</v>
      </c>
    </row>
    <row r="2" spans="1:11" x14ac:dyDescent="0.35">
      <c r="A2" t="s">
        <v>541</v>
      </c>
      <c r="B2" t="s">
        <v>542</v>
      </c>
      <c r="C2" t="s">
        <v>543</v>
      </c>
      <c r="D2" s="5">
        <v>44689</v>
      </c>
      <c r="E2">
        <v>177416</v>
      </c>
      <c r="F2">
        <v>4</v>
      </c>
      <c r="G2" t="s">
        <v>14</v>
      </c>
      <c r="H2" s="7">
        <f ca="1">DATEDIF(D2,TODAY(),"Y")</f>
        <v>4</v>
      </c>
      <c r="I2" t="s">
        <v>543</v>
      </c>
      <c r="J2">
        <f>COUNTIF(C:C,I2)</f>
        <v>24</v>
      </c>
      <c r="K2" s="11">
        <f>AVERAGEIF(C:C,I2,E:E)</f>
        <v>125649.41666666667</v>
      </c>
    </row>
    <row r="3" spans="1:11" x14ac:dyDescent="0.35">
      <c r="A3" t="s">
        <v>544</v>
      </c>
      <c r="B3" t="s">
        <v>545</v>
      </c>
      <c r="C3" t="s">
        <v>546</v>
      </c>
      <c r="D3" s="5">
        <v>44933</v>
      </c>
      <c r="E3">
        <v>58800</v>
      </c>
      <c r="F3">
        <v>5</v>
      </c>
      <c r="G3" t="s">
        <v>19</v>
      </c>
      <c r="H3" s="7">
        <f t="shared" ref="H3:H66" ca="1" si="0">DATEDIF(D3,TODAY(),"Y")</f>
        <v>3</v>
      </c>
      <c r="I3" t="s">
        <v>546</v>
      </c>
      <c r="J3">
        <f>COUNTIF(C:C,I3)</f>
        <v>21</v>
      </c>
      <c r="K3" s="11">
        <f>AVERAGEIF(C:C,I3,E:E)</f>
        <v>131997.85714285713</v>
      </c>
    </row>
    <row r="4" spans="1:11" x14ac:dyDescent="0.35">
      <c r="A4" t="s">
        <v>547</v>
      </c>
      <c r="B4" t="s">
        <v>548</v>
      </c>
      <c r="C4" t="s">
        <v>549</v>
      </c>
      <c r="D4" s="5">
        <v>44949</v>
      </c>
      <c r="E4">
        <v>65372</v>
      </c>
      <c r="F4">
        <v>1</v>
      </c>
      <c r="G4" t="s">
        <v>37</v>
      </c>
      <c r="H4" s="7">
        <f t="shared" ca="1" si="0"/>
        <v>3</v>
      </c>
      <c r="I4" t="s">
        <v>549</v>
      </c>
      <c r="J4">
        <f>COUNTIF(C:C,I4)</f>
        <v>19</v>
      </c>
      <c r="K4" s="11">
        <f>AVERAGEIF(C:C,I4,E:E)</f>
        <v>118246</v>
      </c>
    </row>
    <row r="5" spans="1:11" x14ac:dyDescent="0.35">
      <c r="A5" t="s">
        <v>550</v>
      </c>
      <c r="B5" t="s">
        <v>551</v>
      </c>
      <c r="C5" t="s">
        <v>546</v>
      </c>
      <c r="D5" s="5">
        <v>45066</v>
      </c>
      <c r="E5">
        <v>101516</v>
      </c>
      <c r="F5">
        <v>1</v>
      </c>
      <c r="G5" t="s">
        <v>37</v>
      </c>
      <c r="H5" s="7">
        <f t="shared" ca="1" si="0"/>
        <v>3</v>
      </c>
      <c r="I5" t="s">
        <v>558</v>
      </c>
      <c r="J5">
        <f>COUNTIF(C:C,I5)</f>
        <v>16</v>
      </c>
      <c r="K5" s="11">
        <f>AVERAGEIF(C:C,I5,E:E)</f>
        <v>101400.25</v>
      </c>
    </row>
    <row r="6" spans="1:11" x14ac:dyDescent="0.35">
      <c r="A6" t="s">
        <v>552</v>
      </c>
      <c r="B6" t="s">
        <v>553</v>
      </c>
      <c r="C6" t="s">
        <v>543</v>
      </c>
      <c r="D6" s="5">
        <v>44282</v>
      </c>
      <c r="E6">
        <v>60538</v>
      </c>
      <c r="F6">
        <v>1</v>
      </c>
      <c r="G6" t="s">
        <v>37</v>
      </c>
      <c r="H6" s="7">
        <f t="shared" ca="1" si="0"/>
        <v>5</v>
      </c>
      <c r="I6" t="s">
        <v>563</v>
      </c>
      <c r="J6" s="10">
        <f>COUNTIF(C:C,I6)</f>
        <v>20</v>
      </c>
      <c r="K6" s="11">
        <f>AVERAGEIF(C:C,I6,E:E)</f>
        <v>123484.05</v>
      </c>
    </row>
    <row r="7" spans="1:11" x14ac:dyDescent="0.35">
      <c r="A7" t="s">
        <v>554</v>
      </c>
      <c r="B7" t="s">
        <v>555</v>
      </c>
      <c r="C7" t="s">
        <v>549</v>
      </c>
      <c r="D7" s="5">
        <v>44830</v>
      </c>
      <c r="E7">
        <v>103918</v>
      </c>
      <c r="F7">
        <v>1</v>
      </c>
      <c r="G7" t="s">
        <v>21</v>
      </c>
      <c r="H7" s="7">
        <f t="shared" ca="1" si="0"/>
        <v>4</v>
      </c>
    </row>
    <row r="8" spans="1:11" x14ac:dyDescent="0.35">
      <c r="A8" t="s">
        <v>556</v>
      </c>
      <c r="B8" t="s">
        <v>557</v>
      </c>
      <c r="C8" t="s">
        <v>558</v>
      </c>
      <c r="D8" s="5">
        <v>44280</v>
      </c>
      <c r="E8">
        <v>186045</v>
      </c>
      <c r="F8">
        <v>3</v>
      </c>
      <c r="G8" t="s">
        <v>24</v>
      </c>
      <c r="H8" s="7">
        <f t="shared" ca="1" si="0"/>
        <v>5</v>
      </c>
    </row>
    <row r="9" spans="1:11" x14ac:dyDescent="0.35">
      <c r="A9" t="s">
        <v>559</v>
      </c>
      <c r="B9" t="s">
        <v>560</v>
      </c>
      <c r="C9" t="s">
        <v>558</v>
      </c>
      <c r="D9" s="5">
        <v>44389</v>
      </c>
      <c r="E9">
        <v>111155</v>
      </c>
      <c r="F9">
        <v>3</v>
      </c>
      <c r="G9" t="s">
        <v>14</v>
      </c>
      <c r="H9" s="7">
        <f t="shared" ca="1" si="0"/>
        <v>5</v>
      </c>
    </row>
    <row r="10" spans="1:11" x14ac:dyDescent="0.35">
      <c r="A10" t="s">
        <v>561</v>
      </c>
      <c r="B10" t="s">
        <v>562</v>
      </c>
      <c r="C10" t="s">
        <v>563</v>
      </c>
      <c r="D10" s="5">
        <v>44723</v>
      </c>
      <c r="E10">
        <v>99500</v>
      </c>
      <c r="F10">
        <v>3</v>
      </c>
      <c r="G10" t="s">
        <v>24</v>
      </c>
      <c r="H10" s="7">
        <f t="shared" ca="1" si="0"/>
        <v>4</v>
      </c>
    </row>
    <row r="11" spans="1:11" x14ac:dyDescent="0.35">
      <c r="A11" t="s">
        <v>564</v>
      </c>
      <c r="B11" t="s">
        <v>565</v>
      </c>
      <c r="C11" t="s">
        <v>543</v>
      </c>
      <c r="D11" s="5">
        <v>44825</v>
      </c>
      <c r="E11">
        <v>150659</v>
      </c>
      <c r="F11">
        <v>5</v>
      </c>
      <c r="G11" t="s">
        <v>24</v>
      </c>
      <c r="H11" s="7">
        <f t="shared" ca="1" si="0"/>
        <v>4</v>
      </c>
    </row>
    <row r="12" spans="1:11" x14ac:dyDescent="0.35">
      <c r="A12" t="s">
        <v>566</v>
      </c>
      <c r="B12" t="s">
        <v>567</v>
      </c>
      <c r="C12" t="s">
        <v>543</v>
      </c>
      <c r="D12" s="5">
        <v>43890</v>
      </c>
      <c r="E12">
        <v>67716</v>
      </c>
      <c r="F12">
        <v>5</v>
      </c>
      <c r="G12" t="s">
        <v>24</v>
      </c>
      <c r="H12" s="7">
        <f t="shared" ca="1" si="0"/>
        <v>6</v>
      </c>
    </row>
    <row r="13" spans="1:11" x14ac:dyDescent="0.35">
      <c r="A13" t="s">
        <v>568</v>
      </c>
      <c r="B13" t="s">
        <v>569</v>
      </c>
      <c r="C13" t="s">
        <v>558</v>
      </c>
      <c r="D13" s="5">
        <v>44627</v>
      </c>
      <c r="E13">
        <v>174308</v>
      </c>
      <c r="F13">
        <v>5</v>
      </c>
      <c r="G13" t="s">
        <v>37</v>
      </c>
      <c r="H13" s="7">
        <f t="shared" ca="1" si="0"/>
        <v>4</v>
      </c>
    </row>
    <row r="14" spans="1:11" x14ac:dyDescent="0.35">
      <c r="A14" t="s">
        <v>570</v>
      </c>
      <c r="B14" t="s">
        <v>571</v>
      </c>
      <c r="C14" t="s">
        <v>546</v>
      </c>
      <c r="D14" s="5">
        <v>44519</v>
      </c>
      <c r="E14">
        <v>186920</v>
      </c>
      <c r="F14">
        <v>2</v>
      </c>
      <c r="G14" t="s">
        <v>39</v>
      </c>
      <c r="H14" s="7">
        <f t="shared" ca="1" si="0"/>
        <v>4</v>
      </c>
    </row>
    <row r="15" spans="1:11" x14ac:dyDescent="0.35">
      <c r="A15" t="s">
        <v>572</v>
      </c>
      <c r="B15" t="s">
        <v>573</v>
      </c>
      <c r="C15" t="s">
        <v>549</v>
      </c>
      <c r="D15" s="5">
        <v>45200</v>
      </c>
      <c r="E15">
        <v>42352</v>
      </c>
      <c r="F15">
        <v>5</v>
      </c>
      <c r="G15" t="s">
        <v>37</v>
      </c>
      <c r="H15" s="7">
        <f t="shared" ca="1" si="0"/>
        <v>3</v>
      </c>
    </row>
    <row r="16" spans="1:11" x14ac:dyDescent="0.35">
      <c r="A16" t="s">
        <v>574</v>
      </c>
      <c r="B16" t="s">
        <v>575</v>
      </c>
      <c r="C16" t="s">
        <v>546</v>
      </c>
      <c r="D16" s="5">
        <v>45221</v>
      </c>
      <c r="E16">
        <v>173004</v>
      </c>
      <c r="F16">
        <v>3</v>
      </c>
      <c r="G16" t="s">
        <v>37</v>
      </c>
      <c r="H16" s="7">
        <f t="shared" ca="1" si="0"/>
        <v>2</v>
      </c>
    </row>
    <row r="17" spans="1:8" x14ac:dyDescent="0.35">
      <c r="A17" t="s">
        <v>576</v>
      </c>
      <c r="B17" t="s">
        <v>577</v>
      </c>
      <c r="C17" t="s">
        <v>546</v>
      </c>
      <c r="D17" s="5">
        <v>44659</v>
      </c>
      <c r="E17">
        <v>116449</v>
      </c>
      <c r="F17">
        <v>3</v>
      </c>
      <c r="G17" t="s">
        <v>19</v>
      </c>
      <c r="H17" s="7">
        <f t="shared" ca="1" si="0"/>
        <v>4</v>
      </c>
    </row>
    <row r="18" spans="1:8" x14ac:dyDescent="0.35">
      <c r="A18" t="s">
        <v>578</v>
      </c>
      <c r="B18" t="s">
        <v>579</v>
      </c>
      <c r="C18" t="s">
        <v>558</v>
      </c>
      <c r="D18" s="5">
        <v>45314</v>
      </c>
      <c r="E18">
        <v>48556</v>
      </c>
      <c r="F18">
        <v>2</v>
      </c>
      <c r="G18" t="s">
        <v>19</v>
      </c>
      <c r="H18" s="7">
        <f t="shared" ca="1" si="0"/>
        <v>2</v>
      </c>
    </row>
    <row r="19" spans="1:8" x14ac:dyDescent="0.35">
      <c r="A19" t="s">
        <v>580</v>
      </c>
      <c r="B19" t="s">
        <v>581</v>
      </c>
      <c r="C19" t="s">
        <v>558</v>
      </c>
      <c r="D19" s="5">
        <v>44169</v>
      </c>
      <c r="E19">
        <v>126836</v>
      </c>
      <c r="F19">
        <v>2</v>
      </c>
      <c r="G19" t="s">
        <v>24</v>
      </c>
      <c r="H19" s="7">
        <f t="shared" ca="1" si="0"/>
        <v>5</v>
      </c>
    </row>
    <row r="20" spans="1:8" x14ac:dyDescent="0.35">
      <c r="A20" t="s">
        <v>582</v>
      </c>
      <c r="B20" t="s">
        <v>583</v>
      </c>
      <c r="C20" t="s">
        <v>558</v>
      </c>
      <c r="D20" s="5">
        <v>44788</v>
      </c>
      <c r="E20">
        <v>176570</v>
      </c>
      <c r="F20">
        <v>5</v>
      </c>
      <c r="G20" t="s">
        <v>37</v>
      </c>
      <c r="H20" s="7">
        <f t="shared" ca="1" si="0"/>
        <v>4</v>
      </c>
    </row>
    <row r="21" spans="1:8" x14ac:dyDescent="0.35">
      <c r="A21" t="s">
        <v>584</v>
      </c>
      <c r="B21" t="s">
        <v>585</v>
      </c>
      <c r="C21" t="s">
        <v>563</v>
      </c>
      <c r="D21" s="5">
        <v>44092</v>
      </c>
      <c r="E21">
        <v>90098</v>
      </c>
      <c r="F21">
        <v>4</v>
      </c>
      <c r="G21" t="s">
        <v>24</v>
      </c>
      <c r="H21" s="7">
        <f t="shared" ca="1" si="0"/>
        <v>6</v>
      </c>
    </row>
    <row r="22" spans="1:8" x14ac:dyDescent="0.35">
      <c r="A22" t="s">
        <v>586</v>
      </c>
      <c r="B22" t="s">
        <v>587</v>
      </c>
      <c r="C22" t="s">
        <v>546</v>
      </c>
      <c r="D22" s="5">
        <v>45105</v>
      </c>
      <c r="E22">
        <v>152169</v>
      </c>
      <c r="F22">
        <v>2</v>
      </c>
      <c r="G22" t="s">
        <v>19</v>
      </c>
      <c r="H22" s="7">
        <f t="shared" ca="1" si="0"/>
        <v>3</v>
      </c>
    </row>
    <row r="23" spans="1:8" x14ac:dyDescent="0.35">
      <c r="A23" t="s">
        <v>588</v>
      </c>
      <c r="B23" t="s">
        <v>589</v>
      </c>
      <c r="C23" t="s">
        <v>543</v>
      </c>
      <c r="D23" s="5">
        <v>44924</v>
      </c>
      <c r="E23">
        <v>180641</v>
      </c>
      <c r="F23">
        <v>1</v>
      </c>
      <c r="G23" t="s">
        <v>39</v>
      </c>
      <c r="H23" s="7">
        <f t="shared" ca="1" si="0"/>
        <v>3</v>
      </c>
    </row>
    <row r="24" spans="1:8" x14ac:dyDescent="0.35">
      <c r="A24" t="s">
        <v>590</v>
      </c>
      <c r="B24" t="s">
        <v>591</v>
      </c>
      <c r="C24" t="s">
        <v>549</v>
      </c>
      <c r="D24" s="5">
        <v>43886</v>
      </c>
      <c r="E24">
        <v>166060</v>
      </c>
      <c r="F24">
        <v>3</v>
      </c>
      <c r="G24" t="s">
        <v>14</v>
      </c>
      <c r="H24" s="7">
        <f t="shared" ca="1" si="0"/>
        <v>6</v>
      </c>
    </row>
    <row r="25" spans="1:8" x14ac:dyDescent="0.35">
      <c r="A25" t="s">
        <v>592</v>
      </c>
      <c r="B25" t="s">
        <v>593</v>
      </c>
      <c r="C25" t="s">
        <v>563</v>
      </c>
      <c r="D25" s="5">
        <v>44637</v>
      </c>
      <c r="E25">
        <v>170544</v>
      </c>
      <c r="F25">
        <v>1</v>
      </c>
      <c r="G25" t="s">
        <v>24</v>
      </c>
      <c r="H25" s="7">
        <f t="shared" ca="1" si="0"/>
        <v>4</v>
      </c>
    </row>
    <row r="26" spans="1:8" x14ac:dyDescent="0.35">
      <c r="A26" t="s">
        <v>594</v>
      </c>
      <c r="B26" t="s">
        <v>595</v>
      </c>
      <c r="C26" t="s">
        <v>543</v>
      </c>
      <c r="D26" s="5">
        <v>45043</v>
      </c>
      <c r="E26">
        <v>40340</v>
      </c>
      <c r="F26">
        <v>3</v>
      </c>
      <c r="G26" t="s">
        <v>39</v>
      </c>
      <c r="H26" s="7">
        <f t="shared" ca="1" si="0"/>
        <v>3</v>
      </c>
    </row>
    <row r="27" spans="1:8" x14ac:dyDescent="0.35">
      <c r="A27" t="s">
        <v>596</v>
      </c>
      <c r="B27" t="s">
        <v>597</v>
      </c>
      <c r="C27" t="s">
        <v>546</v>
      </c>
      <c r="D27" s="5">
        <v>44986</v>
      </c>
      <c r="E27">
        <v>122302</v>
      </c>
      <c r="F27">
        <v>3</v>
      </c>
      <c r="G27" t="s">
        <v>14</v>
      </c>
      <c r="H27" s="7">
        <f t="shared" ca="1" si="0"/>
        <v>3</v>
      </c>
    </row>
    <row r="28" spans="1:8" x14ac:dyDescent="0.35">
      <c r="A28" t="s">
        <v>598</v>
      </c>
      <c r="B28" t="s">
        <v>599</v>
      </c>
      <c r="C28" t="s">
        <v>558</v>
      </c>
      <c r="D28" s="5">
        <v>45188</v>
      </c>
      <c r="E28">
        <v>40138</v>
      </c>
      <c r="F28">
        <v>2</v>
      </c>
      <c r="G28" t="s">
        <v>21</v>
      </c>
      <c r="H28" s="7">
        <f t="shared" ca="1" si="0"/>
        <v>3</v>
      </c>
    </row>
    <row r="29" spans="1:8" x14ac:dyDescent="0.35">
      <c r="A29" t="s">
        <v>600</v>
      </c>
      <c r="B29" t="s">
        <v>601</v>
      </c>
      <c r="C29" t="s">
        <v>546</v>
      </c>
      <c r="D29" s="5">
        <v>43886</v>
      </c>
      <c r="E29">
        <v>171430</v>
      </c>
      <c r="F29">
        <v>2</v>
      </c>
      <c r="G29" t="s">
        <v>24</v>
      </c>
      <c r="H29" s="7">
        <f t="shared" ca="1" si="0"/>
        <v>6</v>
      </c>
    </row>
    <row r="30" spans="1:8" x14ac:dyDescent="0.35">
      <c r="A30" t="s">
        <v>602</v>
      </c>
      <c r="B30" t="s">
        <v>603</v>
      </c>
      <c r="C30" t="s">
        <v>549</v>
      </c>
      <c r="D30" s="5">
        <v>44002</v>
      </c>
      <c r="E30">
        <v>159619</v>
      </c>
      <c r="F30">
        <v>1</v>
      </c>
      <c r="G30" t="s">
        <v>24</v>
      </c>
      <c r="H30" s="7">
        <f t="shared" ca="1" si="0"/>
        <v>6</v>
      </c>
    </row>
    <row r="31" spans="1:8" x14ac:dyDescent="0.35">
      <c r="A31" t="s">
        <v>604</v>
      </c>
      <c r="B31" t="s">
        <v>605</v>
      </c>
      <c r="C31" t="s">
        <v>563</v>
      </c>
      <c r="D31" s="5">
        <v>45147</v>
      </c>
      <c r="E31">
        <v>125376</v>
      </c>
      <c r="F31">
        <v>3</v>
      </c>
      <c r="G31" t="s">
        <v>21</v>
      </c>
      <c r="H31" s="7">
        <f t="shared" ca="1" si="0"/>
        <v>3</v>
      </c>
    </row>
    <row r="32" spans="1:8" x14ac:dyDescent="0.35">
      <c r="A32" t="s">
        <v>606</v>
      </c>
      <c r="B32" t="s">
        <v>607</v>
      </c>
      <c r="C32" t="s">
        <v>563</v>
      </c>
      <c r="D32" s="5">
        <v>44708</v>
      </c>
      <c r="E32">
        <v>139931</v>
      </c>
      <c r="F32">
        <v>1</v>
      </c>
      <c r="G32" t="s">
        <v>21</v>
      </c>
      <c r="H32" s="7">
        <f t="shared" ca="1" si="0"/>
        <v>4</v>
      </c>
    </row>
    <row r="33" spans="1:8" x14ac:dyDescent="0.35">
      <c r="A33" t="s">
        <v>608</v>
      </c>
      <c r="B33" t="s">
        <v>609</v>
      </c>
      <c r="C33" t="s">
        <v>549</v>
      </c>
      <c r="D33" s="5">
        <v>44108</v>
      </c>
      <c r="E33">
        <v>196951</v>
      </c>
      <c r="F33">
        <v>4</v>
      </c>
      <c r="G33" t="s">
        <v>24</v>
      </c>
      <c r="H33" s="7">
        <f t="shared" ca="1" si="0"/>
        <v>6</v>
      </c>
    </row>
    <row r="34" spans="1:8" x14ac:dyDescent="0.35">
      <c r="A34" t="s">
        <v>610</v>
      </c>
      <c r="B34" t="s">
        <v>611</v>
      </c>
      <c r="C34" t="s">
        <v>543</v>
      </c>
      <c r="D34" s="5">
        <v>44776</v>
      </c>
      <c r="E34">
        <v>121532</v>
      </c>
      <c r="F34">
        <v>1</v>
      </c>
      <c r="G34" t="s">
        <v>21</v>
      </c>
      <c r="H34" s="7">
        <f t="shared" ca="1" si="0"/>
        <v>4</v>
      </c>
    </row>
    <row r="35" spans="1:8" x14ac:dyDescent="0.35">
      <c r="A35" t="s">
        <v>612</v>
      </c>
      <c r="B35" t="s">
        <v>613</v>
      </c>
      <c r="C35" t="s">
        <v>543</v>
      </c>
      <c r="D35" s="5">
        <v>44203</v>
      </c>
      <c r="E35">
        <v>95778</v>
      </c>
      <c r="F35">
        <v>5</v>
      </c>
      <c r="G35" t="s">
        <v>37</v>
      </c>
      <c r="H35" s="7">
        <f t="shared" ca="1" si="0"/>
        <v>5</v>
      </c>
    </row>
    <row r="36" spans="1:8" x14ac:dyDescent="0.35">
      <c r="A36" t="s">
        <v>614</v>
      </c>
      <c r="B36" t="s">
        <v>615</v>
      </c>
      <c r="C36" t="s">
        <v>563</v>
      </c>
      <c r="D36" s="5">
        <v>43933</v>
      </c>
      <c r="E36">
        <v>77772</v>
      </c>
      <c r="F36">
        <v>1</v>
      </c>
      <c r="G36" t="s">
        <v>14</v>
      </c>
      <c r="H36" s="7">
        <f t="shared" ca="1" si="0"/>
        <v>6</v>
      </c>
    </row>
    <row r="37" spans="1:8" x14ac:dyDescent="0.35">
      <c r="A37" t="s">
        <v>616</v>
      </c>
      <c r="B37" t="s">
        <v>617</v>
      </c>
      <c r="C37" t="s">
        <v>563</v>
      </c>
      <c r="D37" s="5">
        <v>44363</v>
      </c>
      <c r="E37">
        <v>98478</v>
      </c>
      <c r="F37">
        <v>5</v>
      </c>
      <c r="G37" t="s">
        <v>14</v>
      </c>
      <c r="H37" s="7">
        <f t="shared" ca="1" si="0"/>
        <v>5</v>
      </c>
    </row>
    <row r="38" spans="1:8" x14ac:dyDescent="0.35">
      <c r="A38" t="s">
        <v>618</v>
      </c>
      <c r="B38" t="s">
        <v>619</v>
      </c>
      <c r="C38" t="s">
        <v>558</v>
      </c>
      <c r="D38" s="5">
        <v>44607</v>
      </c>
      <c r="E38">
        <v>66762</v>
      </c>
      <c r="F38">
        <v>5</v>
      </c>
      <c r="G38" t="s">
        <v>14</v>
      </c>
      <c r="H38" s="7">
        <f t="shared" ca="1" si="0"/>
        <v>4</v>
      </c>
    </row>
    <row r="39" spans="1:8" x14ac:dyDescent="0.35">
      <c r="A39" t="s">
        <v>620</v>
      </c>
      <c r="B39" t="s">
        <v>621</v>
      </c>
      <c r="C39" t="s">
        <v>543</v>
      </c>
      <c r="D39" s="5">
        <v>44501</v>
      </c>
      <c r="E39">
        <v>184355</v>
      </c>
      <c r="F39">
        <v>5</v>
      </c>
      <c r="G39" t="s">
        <v>37</v>
      </c>
      <c r="H39" s="7">
        <f t="shared" ca="1" si="0"/>
        <v>4</v>
      </c>
    </row>
    <row r="40" spans="1:8" x14ac:dyDescent="0.35">
      <c r="A40" t="s">
        <v>622</v>
      </c>
      <c r="B40" t="s">
        <v>623</v>
      </c>
      <c r="C40" t="s">
        <v>549</v>
      </c>
      <c r="D40" s="5">
        <v>44264</v>
      </c>
      <c r="E40">
        <v>95568</v>
      </c>
      <c r="F40">
        <v>4</v>
      </c>
      <c r="G40" t="s">
        <v>21</v>
      </c>
      <c r="H40" s="7">
        <f t="shared" ca="1" si="0"/>
        <v>5</v>
      </c>
    </row>
    <row r="41" spans="1:8" x14ac:dyDescent="0.35">
      <c r="A41" t="s">
        <v>624</v>
      </c>
      <c r="B41" t="s">
        <v>625</v>
      </c>
      <c r="C41" t="s">
        <v>543</v>
      </c>
      <c r="D41" s="5">
        <v>44762</v>
      </c>
      <c r="E41">
        <v>125090</v>
      </c>
      <c r="F41">
        <v>1</v>
      </c>
      <c r="G41" t="s">
        <v>39</v>
      </c>
      <c r="H41" s="7">
        <f t="shared" ca="1" si="0"/>
        <v>4</v>
      </c>
    </row>
    <row r="42" spans="1:8" x14ac:dyDescent="0.35">
      <c r="A42" t="s">
        <v>626</v>
      </c>
      <c r="B42" t="s">
        <v>627</v>
      </c>
      <c r="C42" t="s">
        <v>558</v>
      </c>
      <c r="D42" s="5">
        <v>44500</v>
      </c>
      <c r="E42">
        <v>60219</v>
      </c>
      <c r="F42">
        <v>1</v>
      </c>
      <c r="G42" t="s">
        <v>21</v>
      </c>
      <c r="H42" s="7">
        <f t="shared" ca="1" si="0"/>
        <v>4</v>
      </c>
    </row>
    <row r="43" spans="1:8" x14ac:dyDescent="0.35">
      <c r="A43" t="s">
        <v>628</v>
      </c>
      <c r="B43" t="s">
        <v>629</v>
      </c>
      <c r="C43" t="s">
        <v>563</v>
      </c>
      <c r="D43" s="5">
        <v>44522</v>
      </c>
      <c r="E43">
        <v>97169</v>
      </c>
      <c r="F43">
        <v>4</v>
      </c>
      <c r="G43" t="s">
        <v>24</v>
      </c>
      <c r="H43" s="7">
        <f t="shared" ca="1" si="0"/>
        <v>4</v>
      </c>
    </row>
    <row r="44" spans="1:8" x14ac:dyDescent="0.35">
      <c r="A44" t="s">
        <v>630</v>
      </c>
      <c r="B44" t="s">
        <v>631</v>
      </c>
      <c r="C44" t="s">
        <v>563</v>
      </c>
      <c r="D44" s="5">
        <v>44607</v>
      </c>
      <c r="E44">
        <v>114965</v>
      </c>
      <c r="F44">
        <v>3</v>
      </c>
      <c r="G44" t="s">
        <v>19</v>
      </c>
      <c r="H44" s="7">
        <f t="shared" ca="1" si="0"/>
        <v>4</v>
      </c>
    </row>
    <row r="45" spans="1:8" x14ac:dyDescent="0.35">
      <c r="A45" t="s">
        <v>632</v>
      </c>
      <c r="B45" t="s">
        <v>633</v>
      </c>
      <c r="C45" t="s">
        <v>558</v>
      </c>
      <c r="D45" s="5">
        <v>44400</v>
      </c>
      <c r="E45">
        <v>124754</v>
      </c>
      <c r="F45">
        <v>2</v>
      </c>
      <c r="G45" t="s">
        <v>14</v>
      </c>
      <c r="H45" s="7">
        <f t="shared" ca="1" si="0"/>
        <v>5</v>
      </c>
    </row>
    <row r="46" spans="1:8" x14ac:dyDescent="0.35">
      <c r="A46" t="s">
        <v>634</v>
      </c>
      <c r="B46" t="s">
        <v>635</v>
      </c>
      <c r="C46" t="s">
        <v>549</v>
      </c>
      <c r="D46" s="5">
        <v>44694</v>
      </c>
      <c r="E46">
        <v>117988</v>
      </c>
      <c r="F46">
        <v>1</v>
      </c>
      <c r="G46" t="s">
        <v>21</v>
      </c>
      <c r="H46" s="7">
        <f t="shared" ca="1" si="0"/>
        <v>4</v>
      </c>
    </row>
    <row r="47" spans="1:8" x14ac:dyDescent="0.35">
      <c r="A47" t="s">
        <v>636</v>
      </c>
      <c r="B47" t="s">
        <v>637</v>
      </c>
      <c r="C47" t="s">
        <v>563</v>
      </c>
      <c r="D47" s="5">
        <v>44347</v>
      </c>
      <c r="E47">
        <v>190023</v>
      </c>
      <c r="F47">
        <v>2</v>
      </c>
      <c r="G47" t="s">
        <v>39</v>
      </c>
      <c r="H47" s="7">
        <f t="shared" ca="1" si="0"/>
        <v>5</v>
      </c>
    </row>
    <row r="48" spans="1:8" x14ac:dyDescent="0.35">
      <c r="A48" t="s">
        <v>638</v>
      </c>
      <c r="B48" t="s">
        <v>639</v>
      </c>
      <c r="C48" t="s">
        <v>546</v>
      </c>
      <c r="D48" s="5">
        <v>43998</v>
      </c>
      <c r="E48">
        <v>172379</v>
      </c>
      <c r="F48">
        <v>4</v>
      </c>
      <c r="G48" t="s">
        <v>24</v>
      </c>
      <c r="H48" s="7">
        <f t="shared" ca="1" si="0"/>
        <v>6</v>
      </c>
    </row>
    <row r="49" spans="1:8" x14ac:dyDescent="0.35">
      <c r="A49" t="s">
        <v>640</v>
      </c>
      <c r="B49" t="s">
        <v>641</v>
      </c>
      <c r="C49" t="s">
        <v>563</v>
      </c>
      <c r="D49" s="5">
        <v>44794</v>
      </c>
      <c r="E49">
        <v>120388</v>
      </c>
      <c r="F49">
        <v>3</v>
      </c>
      <c r="G49" t="s">
        <v>37</v>
      </c>
      <c r="H49" s="7">
        <f t="shared" ca="1" si="0"/>
        <v>4</v>
      </c>
    </row>
    <row r="50" spans="1:8" x14ac:dyDescent="0.35">
      <c r="A50" t="s">
        <v>642</v>
      </c>
      <c r="B50" t="s">
        <v>643</v>
      </c>
      <c r="C50" t="s">
        <v>546</v>
      </c>
      <c r="D50" s="5">
        <v>43870</v>
      </c>
      <c r="E50">
        <v>130768</v>
      </c>
      <c r="F50">
        <v>3</v>
      </c>
      <c r="G50" t="s">
        <v>37</v>
      </c>
      <c r="H50" s="7">
        <f t="shared" ca="1" si="0"/>
        <v>6</v>
      </c>
    </row>
    <row r="51" spans="1:8" x14ac:dyDescent="0.35">
      <c r="A51" t="s">
        <v>644</v>
      </c>
      <c r="B51" t="s">
        <v>645</v>
      </c>
      <c r="C51" t="s">
        <v>558</v>
      </c>
      <c r="D51" s="5">
        <v>44935</v>
      </c>
      <c r="E51">
        <v>75428</v>
      </c>
      <c r="F51">
        <v>3</v>
      </c>
      <c r="G51" t="s">
        <v>39</v>
      </c>
      <c r="H51" s="7">
        <f t="shared" ca="1" si="0"/>
        <v>3</v>
      </c>
    </row>
    <row r="52" spans="1:8" x14ac:dyDescent="0.35">
      <c r="A52" t="s">
        <v>646</v>
      </c>
      <c r="B52" t="s">
        <v>647</v>
      </c>
      <c r="C52" t="s">
        <v>558</v>
      </c>
      <c r="D52" s="5">
        <v>43937</v>
      </c>
      <c r="E52">
        <v>132021</v>
      </c>
      <c r="F52">
        <v>4</v>
      </c>
      <c r="G52" t="s">
        <v>24</v>
      </c>
      <c r="H52" s="7">
        <f t="shared" ca="1" si="0"/>
        <v>6</v>
      </c>
    </row>
    <row r="53" spans="1:8" x14ac:dyDescent="0.35">
      <c r="A53" t="s">
        <v>648</v>
      </c>
      <c r="B53" t="s">
        <v>649</v>
      </c>
      <c r="C53" t="s">
        <v>563</v>
      </c>
      <c r="D53" s="5">
        <v>44547</v>
      </c>
      <c r="E53">
        <v>158418</v>
      </c>
      <c r="F53">
        <v>5</v>
      </c>
      <c r="G53" t="s">
        <v>14</v>
      </c>
      <c r="H53" s="7">
        <f t="shared" ca="1" si="0"/>
        <v>4</v>
      </c>
    </row>
    <row r="54" spans="1:8" x14ac:dyDescent="0.35">
      <c r="A54" t="s">
        <v>650</v>
      </c>
      <c r="B54" t="s">
        <v>651</v>
      </c>
      <c r="C54" t="s">
        <v>543</v>
      </c>
      <c r="D54" s="5">
        <v>44290</v>
      </c>
      <c r="E54">
        <v>172212</v>
      </c>
      <c r="F54">
        <v>5</v>
      </c>
      <c r="G54" t="s">
        <v>21</v>
      </c>
      <c r="H54" s="7">
        <f t="shared" ca="1" si="0"/>
        <v>5</v>
      </c>
    </row>
    <row r="55" spans="1:8" x14ac:dyDescent="0.35">
      <c r="A55" t="s">
        <v>652</v>
      </c>
      <c r="B55" t="s">
        <v>653</v>
      </c>
      <c r="C55" t="s">
        <v>546</v>
      </c>
      <c r="D55" s="5">
        <v>45162</v>
      </c>
      <c r="E55">
        <v>195914</v>
      </c>
      <c r="F55">
        <v>2</v>
      </c>
      <c r="G55" t="s">
        <v>24</v>
      </c>
      <c r="H55" s="7">
        <f t="shared" ca="1" si="0"/>
        <v>3</v>
      </c>
    </row>
    <row r="56" spans="1:8" x14ac:dyDescent="0.35">
      <c r="A56" t="s">
        <v>654</v>
      </c>
      <c r="B56" t="s">
        <v>655</v>
      </c>
      <c r="C56" t="s">
        <v>549</v>
      </c>
      <c r="D56" s="5">
        <v>43971</v>
      </c>
      <c r="E56">
        <v>66421</v>
      </c>
      <c r="F56">
        <v>5</v>
      </c>
      <c r="G56" t="s">
        <v>37</v>
      </c>
      <c r="H56" s="7">
        <f t="shared" ca="1" si="0"/>
        <v>6</v>
      </c>
    </row>
    <row r="57" spans="1:8" x14ac:dyDescent="0.35">
      <c r="A57" t="s">
        <v>656</v>
      </c>
      <c r="B57" t="s">
        <v>657</v>
      </c>
      <c r="C57" t="s">
        <v>563</v>
      </c>
      <c r="D57" s="5">
        <v>45165</v>
      </c>
      <c r="E57">
        <v>41708</v>
      </c>
      <c r="F57">
        <v>5</v>
      </c>
      <c r="G57" t="s">
        <v>39</v>
      </c>
      <c r="H57" s="7">
        <f t="shared" ca="1" si="0"/>
        <v>3</v>
      </c>
    </row>
    <row r="58" spans="1:8" x14ac:dyDescent="0.35">
      <c r="A58" t="s">
        <v>658</v>
      </c>
      <c r="B58" t="s">
        <v>659</v>
      </c>
      <c r="C58" t="s">
        <v>549</v>
      </c>
      <c r="D58" s="5">
        <v>43913</v>
      </c>
      <c r="E58">
        <v>174702</v>
      </c>
      <c r="F58">
        <v>3</v>
      </c>
      <c r="G58" t="s">
        <v>39</v>
      </c>
      <c r="H58" s="7">
        <f t="shared" ca="1" si="0"/>
        <v>6</v>
      </c>
    </row>
    <row r="59" spans="1:8" x14ac:dyDescent="0.35">
      <c r="A59" t="s">
        <v>660</v>
      </c>
      <c r="B59" t="s">
        <v>661</v>
      </c>
      <c r="C59" t="s">
        <v>563</v>
      </c>
      <c r="D59" s="5">
        <v>43894</v>
      </c>
      <c r="E59">
        <v>190667</v>
      </c>
      <c r="F59">
        <v>3</v>
      </c>
      <c r="G59" t="s">
        <v>21</v>
      </c>
      <c r="H59" s="7">
        <f t="shared" ca="1" si="0"/>
        <v>6</v>
      </c>
    </row>
    <row r="60" spans="1:8" x14ac:dyDescent="0.35">
      <c r="A60" t="s">
        <v>662</v>
      </c>
      <c r="B60" t="s">
        <v>663</v>
      </c>
      <c r="C60" t="s">
        <v>543</v>
      </c>
      <c r="D60" s="5">
        <v>44337</v>
      </c>
      <c r="E60">
        <v>116021</v>
      </c>
      <c r="F60">
        <v>2</v>
      </c>
      <c r="G60" t="s">
        <v>39</v>
      </c>
      <c r="H60" s="7">
        <f t="shared" ca="1" si="0"/>
        <v>5</v>
      </c>
    </row>
    <row r="61" spans="1:8" x14ac:dyDescent="0.35">
      <c r="A61" t="s">
        <v>664</v>
      </c>
      <c r="B61" t="s">
        <v>665</v>
      </c>
      <c r="C61" t="s">
        <v>543</v>
      </c>
      <c r="D61" s="5">
        <v>44239</v>
      </c>
      <c r="E61">
        <v>199380</v>
      </c>
      <c r="F61">
        <v>1</v>
      </c>
      <c r="G61" t="s">
        <v>39</v>
      </c>
      <c r="H61" s="7">
        <f t="shared" ca="1" si="0"/>
        <v>5</v>
      </c>
    </row>
    <row r="62" spans="1:8" x14ac:dyDescent="0.35">
      <c r="A62" t="s">
        <v>666</v>
      </c>
      <c r="B62" t="s">
        <v>667</v>
      </c>
      <c r="C62" t="s">
        <v>543</v>
      </c>
      <c r="D62" s="5">
        <v>43872</v>
      </c>
      <c r="E62">
        <v>84789</v>
      </c>
      <c r="F62">
        <v>2</v>
      </c>
      <c r="G62" t="s">
        <v>24</v>
      </c>
      <c r="H62" s="7">
        <f t="shared" ca="1" si="0"/>
        <v>6</v>
      </c>
    </row>
    <row r="63" spans="1:8" x14ac:dyDescent="0.35">
      <c r="A63" t="s">
        <v>668</v>
      </c>
      <c r="B63" t="s">
        <v>669</v>
      </c>
      <c r="C63" t="s">
        <v>543</v>
      </c>
      <c r="D63" s="5">
        <v>45103</v>
      </c>
      <c r="E63">
        <v>66086</v>
      </c>
      <c r="F63">
        <v>2</v>
      </c>
      <c r="G63" t="s">
        <v>14</v>
      </c>
      <c r="H63" s="7">
        <f t="shared" ca="1" si="0"/>
        <v>3</v>
      </c>
    </row>
    <row r="64" spans="1:8" x14ac:dyDescent="0.35">
      <c r="A64" t="s">
        <v>670</v>
      </c>
      <c r="B64" t="s">
        <v>671</v>
      </c>
      <c r="C64" t="s">
        <v>558</v>
      </c>
      <c r="D64" s="5">
        <v>44143</v>
      </c>
      <c r="E64">
        <v>56859</v>
      </c>
      <c r="F64">
        <v>4</v>
      </c>
      <c r="G64" t="s">
        <v>21</v>
      </c>
      <c r="H64" s="7">
        <f t="shared" ca="1" si="0"/>
        <v>5</v>
      </c>
    </row>
    <row r="65" spans="1:8" x14ac:dyDescent="0.35">
      <c r="A65" t="s">
        <v>672</v>
      </c>
      <c r="B65" t="s">
        <v>673</v>
      </c>
      <c r="C65" t="s">
        <v>558</v>
      </c>
      <c r="D65" s="5">
        <v>44319</v>
      </c>
      <c r="E65">
        <v>47684</v>
      </c>
      <c r="F65">
        <v>4</v>
      </c>
      <c r="G65" t="s">
        <v>24</v>
      </c>
      <c r="H65" s="7">
        <f t="shared" ca="1" si="0"/>
        <v>5</v>
      </c>
    </row>
    <row r="66" spans="1:8" x14ac:dyDescent="0.35">
      <c r="A66" t="s">
        <v>674</v>
      </c>
      <c r="B66" t="s">
        <v>675</v>
      </c>
      <c r="C66" t="s">
        <v>546</v>
      </c>
      <c r="D66" s="5">
        <v>44089</v>
      </c>
      <c r="E66">
        <v>131088</v>
      </c>
      <c r="F66">
        <v>2</v>
      </c>
      <c r="G66" t="s">
        <v>14</v>
      </c>
      <c r="H66" s="7">
        <f t="shared" ca="1" si="0"/>
        <v>6</v>
      </c>
    </row>
    <row r="67" spans="1:8" x14ac:dyDescent="0.35">
      <c r="A67" t="s">
        <v>676</v>
      </c>
      <c r="B67" t="s">
        <v>677</v>
      </c>
      <c r="C67" t="s">
        <v>549</v>
      </c>
      <c r="D67" s="5">
        <v>44800</v>
      </c>
      <c r="E67">
        <v>172279</v>
      </c>
      <c r="F67">
        <v>2</v>
      </c>
      <c r="G67" t="s">
        <v>24</v>
      </c>
      <c r="H67" s="7">
        <f t="shared" ref="H67:H101" ca="1" si="1">DATEDIF(D67,TODAY(),"Y")</f>
        <v>4</v>
      </c>
    </row>
    <row r="68" spans="1:8" x14ac:dyDescent="0.35">
      <c r="A68" t="s">
        <v>678</v>
      </c>
      <c r="B68" t="s">
        <v>679</v>
      </c>
      <c r="C68" t="s">
        <v>563</v>
      </c>
      <c r="D68" s="5">
        <v>45202</v>
      </c>
      <c r="E68">
        <v>86099</v>
      </c>
      <c r="F68">
        <v>2</v>
      </c>
      <c r="G68" t="s">
        <v>19</v>
      </c>
      <c r="H68" s="7">
        <f t="shared" ca="1" si="1"/>
        <v>3</v>
      </c>
    </row>
    <row r="69" spans="1:8" x14ac:dyDescent="0.35">
      <c r="A69" t="s">
        <v>680</v>
      </c>
      <c r="B69" t="s">
        <v>681</v>
      </c>
      <c r="C69" t="s">
        <v>563</v>
      </c>
      <c r="D69" s="5">
        <v>44065</v>
      </c>
      <c r="E69">
        <v>106093</v>
      </c>
      <c r="F69">
        <v>5</v>
      </c>
      <c r="G69" t="s">
        <v>24</v>
      </c>
      <c r="H69" s="7">
        <f t="shared" ca="1" si="1"/>
        <v>6</v>
      </c>
    </row>
    <row r="70" spans="1:8" x14ac:dyDescent="0.35">
      <c r="A70" t="s">
        <v>682</v>
      </c>
      <c r="B70" t="s">
        <v>683</v>
      </c>
      <c r="C70" t="s">
        <v>558</v>
      </c>
      <c r="D70" s="5">
        <v>44986</v>
      </c>
      <c r="E70">
        <v>88651</v>
      </c>
      <c r="F70">
        <v>4</v>
      </c>
      <c r="G70" t="s">
        <v>39</v>
      </c>
      <c r="H70" s="7">
        <f t="shared" ca="1" si="1"/>
        <v>3</v>
      </c>
    </row>
    <row r="71" spans="1:8" x14ac:dyDescent="0.35">
      <c r="A71" t="s">
        <v>684</v>
      </c>
      <c r="B71" t="s">
        <v>685</v>
      </c>
      <c r="C71" t="s">
        <v>563</v>
      </c>
      <c r="D71" s="5">
        <v>44277</v>
      </c>
      <c r="E71">
        <v>53893</v>
      </c>
      <c r="F71">
        <v>2</v>
      </c>
      <c r="G71" t="s">
        <v>14</v>
      </c>
      <c r="H71" s="7">
        <f t="shared" ca="1" si="1"/>
        <v>5</v>
      </c>
    </row>
    <row r="72" spans="1:8" x14ac:dyDescent="0.35">
      <c r="A72" t="s">
        <v>686</v>
      </c>
      <c r="B72" t="s">
        <v>687</v>
      </c>
      <c r="C72" t="s">
        <v>558</v>
      </c>
      <c r="D72" s="5">
        <v>44783</v>
      </c>
      <c r="E72">
        <v>106418</v>
      </c>
      <c r="F72">
        <v>3</v>
      </c>
      <c r="G72" t="s">
        <v>21</v>
      </c>
      <c r="H72" s="7">
        <f t="shared" ca="1" si="1"/>
        <v>4</v>
      </c>
    </row>
    <row r="73" spans="1:8" x14ac:dyDescent="0.35">
      <c r="A73" t="s">
        <v>688</v>
      </c>
      <c r="B73" t="s">
        <v>689</v>
      </c>
      <c r="C73" t="s">
        <v>546</v>
      </c>
      <c r="D73" s="5">
        <v>45263</v>
      </c>
      <c r="E73">
        <v>165074</v>
      </c>
      <c r="F73">
        <v>3</v>
      </c>
      <c r="G73" t="s">
        <v>21</v>
      </c>
      <c r="H73" s="7">
        <f t="shared" ca="1" si="1"/>
        <v>2</v>
      </c>
    </row>
    <row r="74" spans="1:8" x14ac:dyDescent="0.35">
      <c r="A74" t="s">
        <v>690</v>
      </c>
      <c r="B74" t="s">
        <v>691</v>
      </c>
      <c r="C74" t="s">
        <v>549</v>
      </c>
      <c r="D74" s="5">
        <v>44355</v>
      </c>
      <c r="E74">
        <v>143065</v>
      </c>
      <c r="F74">
        <v>5</v>
      </c>
      <c r="G74" t="s">
        <v>14</v>
      </c>
      <c r="H74" s="7">
        <f t="shared" ca="1" si="1"/>
        <v>5</v>
      </c>
    </row>
    <row r="75" spans="1:8" x14ac:dyDescent="0.35">
      <c r="A75" t="s">
        <v>692</v>
      </c>
      <c r="B75" t="s">
        <v>693</v>
      </c>
      <c r="C75" t="s">
        <v>546</v>
      </c>
      <c r="D75" s="5">
        <v>44586</v>
      </c>
      <c r="E75">
        <v>170351</v>
      </c>
      <c r="F75">
        <v>5</v>
      </c>
      <c r="G75" t="s">
        <v>39</v>
      </c>
      <c r="H75" s="7">
        <f t="shared" ca="1" si="1"/>
        <v>4</v>
      </c>
    </row>
    <row r="76" spans="1:8" x14ac:dyDescent="0.35">
      <c r="A76" t="s">
        <v>694</v>
      </c>
      <c r="B76" t="s">
        <v>695</v>
      </c>
      <c r="C76" t="s">
        <v>543</v>
      </c>
      <c r="D76" s="5">
        <v>44174</v>
      </c>
      <c r="E76">
        <v>78635</v>
      </c>
      <c r="F76">
        <v>1</v>
      </c>
      <c r="G76" t="s">
        <v>37</v>
      </c>
      <c r="H76" s="7">
        <f t="shared" ca="1" si="1"/>
        <v>5</v>
      </c>
    </row>
    <row r="77" spans="1:8" x14ac:dyDescent="0.35">
      <c r="A77" t="s">
        <v>696</v>
      </c>
      <c r="B77" t="s">
        <v>697</v>
      </c>
      <c r="C77" t="s">
        <v>543</v>
      </c>
      <c r="D77" s="5">
        <v>45071</v>
      </c>
      <c r="E77">
        <v>135071</v>
      </c>
      <c r="F77">
        <v>1</v>
      </c>
      <c r="G77" t="s">
        <v>24</v>
      </c>
      <c r="H77" s="7">
        <f t="shared" ca="1" si="1"/>
        <v>3</v>
      </c>
    </row>
    <row r="78" spans="1:8" x14ac:dyDescent="0.35">
      <c r="A78" t="s">
        <v>698</v>
      </c>
      <c r="B78" t="s">
        <v>699</v>
      </c>
      <c r="C78" t="s">
        <v>543</v>
      </c>
      <c r="D78" s="5">
        <v>45074</v>
      </c>
      <c r="E78">
        <v>118518</v>
      </c>
      <c r="F78">
        <v>1</v>
      </c>
      <c r="G78" t="s">
        <v>39</v>
      </c>
      <c r="H78" s="7">
        <f t="shared" ca="1" si="1"/>
        <v>3</v>
      </c>
    </row>
    <row r="79" spans="1:8" x14ac:dyDescent="0.35">
      <c r="A79" t="s">
        <v>700</v>
      </c>
      <c r="B79" t="s">
        <v>701</v>
      </c>
      <c r="C79" t="s">
        <v>546</v>
      </c>
      <c r="D79" s="5">
        <v>45302</v>
      </c>
      <c r="E79">
        <v>146233</v>
      </c>
      <c r="F79">
        <v>5</v>
      </c>
      <c r="G79" t="s">
        <v>19</v>
      </c>
      <c r="H79" s="7">
        <f t="shared" ca="1" si="1"/>
        <v>2</v>
      </c>
    </row>
    <row r="80" spans="1:8" x14ac:dyDescent="0.35">
      <c r="A80" t="s">
        <v>702</v>
      </c>
      <c r="B80" t="s">
        <v>703</v>
      </c>
      <c r="C80" t="s">
        <v>563</v>
      </c>
      <c r="D80" s="5">
        <v>44065</v>
      </c>
      <c r="E80">
        <v>143651</v>
      </c>
      <c r="F80">
        <v>5</v>
      </c>
      <c r="G80" t="s">
        <v>14</v>
      </c>
      <c r="H80" s="7">
        <f t="shared" ca="1" si="1"/>
        <v>6</v>
      </c>
    </row>
    <row r="81" spans="1:8" x14ac:dyDescent="0.35">
      <c r="A81" t="s">
        <v>704</v>
      </c>
      <c r="B81" t="s">
        <v>705</v>
      </c>
      <c r="C81" t="s">
        <v>549</v>
      </c>
      <c r="D81" s="5">
        <v>44166</v>
      </c>
      <c r="E81">
        <v>112805</v>
      </c>
      <c r="F81">
        <v>5</v>
      </c>
      <c r="G81" t="s">
        <v>24</v>
      </c>
      <c r="H81" s="7">
        <f t="shared" ca="1" si="1"/>
        <v>5</v>
      </c>
    </row>
    <row r="82" spans="1:8" x14ac:dyDescent="0.35">
      <c r="A82" t="s">
        <v>706</v>
      </c>
      <c r="B82" t="s">
        <v>707</v>
      </c>
      <c r="C82" t="s">
        <v>543</v>
      </c>
      <c r="D82" s="5">
        <v>44468</v>
      </c>
      <c r="E82">
        <v>199136</v>
      </c>
      <c r="F82">
        <v>3</v>
      </c>
      <c r="G82" t="s">
        <v>21</v>
      </c>
      <c r="H82" s="7">
        <f t="shared" ca="1" si="1"/>
        <v>5</v>
      </c>
    </row>
    <row r="83" spans="1:8" x14ac:dyDescent="0.35">
      <c r="A83" t="s">
        <v>708</v>
      </c>
      <c r="B83" t="s">
        <v>709</v>
      </c>
      <c r="C83" t="s">
        <v>543</v>
      </c>
      <c r="D83" s="5">
        <v>44052</v>
      </c>
      <c r="E83">
        <v>162813</v>
      </c>
      <c r="F83">
        <v>5</v>
      </c>
      <c r="G83" t="s">
        <v>37</v>
      </c>
      <c r="H83" s="7">
        <f t="shared" ca="1" si="1"/>
        <v>6</v>
      </c>
    </row>
    <row r="84" spans="1:8" x14ac:dyDescent="0.35">
      <c r="A84" t="s">
        <v>710</v>
      </c>
      <c r="B84" t="s">
        <v>711</v>
      </c>
      <c r="C84" t="s">
        <v>543</v>
      </c>
      <c r="D84" s="5">
        <v>45016</v>
      </c>
      <c r="E84">
        <v>119063</v>
      </c>
      <c r="F84">
        <v>3</v>
      </c>
      <c r="G84" t="s">
        <v>19</v>
      </c>
      <c r="H84" s="7">
        <f t="shared" ca="1" si="1"/>
        <v>3</v>
      </c>
    </row>
    <row r="85" spans="1:8" x14ac:dyDescent="0.35">
      <c r="A85" t="s">
        <v>712</v>
      </c>
      <c r="B85" t="s">
        <v>713</v>
      </c>
      <c r="C85" t="s">
        <v>549</v>
      </c>
      <c r="D85" s="5">
        <v>43883</v>
      </c>
      <c r="E85">
        <v>42454</v>
      </c>
      <c r="F85">
        <v>1</v>
      </c>
      <c r="G85" t="s">
        <v>21</v>
      </c>
      <c r="H85" s="7">
        <f t="shared" ca="1" si="1"/>
        <v>6</v>
      </c>
    </row>
    <row r="86" spans="1:8" x14ac:dyDescent="0.35">
      <c r="A86" t="s">
        <v>714</v>
      </c>
      <c r="B86" t="s">
        <v>715</v>
      </c>
      <c r="C86" t="s">
        <v>543</v>
      </c>
      <c r="D86" s="5">
        <v>44469</v>
      </c>
      <c r="E86">
        <v>60878</v>
      </c>
      <c r="F86">
        <v>1</v>
      </c>
      <c r="G86" t="s">
        <v>14</v>
      </c>
      <c r="H86" s="7">
        <f t="shared" ca="1" si="1"/>
        <v>5</v>
      </c>
    </row>
    <row r="87" spans="1:8" x14ac:dyDescent="0.35">
      <c r="A87" t="s">
        <v>716</v>
      </c>
      <c r="B87" t="s">
        <v>717</v>
      </c>
      <c r="C87" t="s">
        <v>549</v>
      </c>
      <c r="D87" s="5">
        <v>45010</v>
      </c>
      <c r="E87">
        <v>184063</v>
      </c>
      <c r="F87">
        <v>1</v>
      </c>
      <c r="G87" t="s">
        <v>24</v>
      </c>
      <c r="H87" s="7">
        <f t="shared" ca="1" si="1"/>
        <v>3</v>
      </c>
    </row>
    <row r="88" spans="1:8" x14ac:dyDescent="0.35">
      <c r="A88" t="s">
        <v>718</v>
      </c>
      <c r="B88" t="s">
        <v>719</v>
      </c>
      <c r="C88" t="s">
        <v>543</v>
      </c>
      <c r="D88" s="5">
        <v>45218</v>
      </c>
      <c r="E88">
        <v>108344</v>
      </c>
      <c r="F88">
        <v>2</v>
      </c>
      <c r="G88" t="s">
        <v>14</v>
      </c>
      <c r="H88" s="7">
        <f t="shared" ca="1" si="1"/>
        <v>2</v>
      </c>
    </row>
    <row r="89" spans="1:8" x14ac:dyDescent="0.35">
      <c r="A89" t="s">
        <v>720</v>
      </c>
      <c r="B89" t="s">
        <v>721</v>
      </c>
      <c r="C89" t="s">
        <v>546</v>
      </c>
      <c r="D89" s="5">
        <v>44599</v>
      </c>
      <c r="E89">
        <v>144946</v>
      </c>
      <c r="F89">
        <v>2</v>
      </c>
      <c r="G89" t="s">
        <v>24</v>
      </c>
      <c r="H89" s="7">
        <f t="shared" ca="1" si="1"/>
        <v>4</v>
      </c>
    </row>
    <row r="90" spans="1:8" x14ac:dyDescent="0.35">
      <c r="A90" t="s">
        <v>722</v>
      </c>
      <c r="B90" t="s">
        <v>723</v>
      </c>
      <c r="C90" t="s">
        <v>546</v>
      </c>
      <c r="D90" s="5">
        <v>44643</v>
      </c>
      <c r="E90">
        <v>76593</v>
      </c>
      <c r="F90">
        <v>4</v>
      </c>
      <c r="G90" t="s">
        <v>39</v>
      </c>
      <c r="H90" s="7">
        <f t="shared" ca="1" si="1"/>
        <v>4</v>
      </c>
    </row>
    <row r="91" spans="1:8" x14ac:dyDescent="0.35">
      <c r="A91" t="s">
        <v>724</v>
      </c>
      <c r="B91" t="s">
        <v>725</v>
      </c>
      <c r="C91" t="s">
        <v>549</v>
      </c>
      <c r="D91" s="5">
        <v>45295</v>
      </c>
      <c r="E91">
        <v>76304</v>
      </c>
      <c r="F91">
        <v>4</v>
      </c>
      <c r="G91" t="s">
        <v>37</v>
      </c>
      <c r="H91" s="7">
        <f t="shared" ca="1" si="1"/>
        <v>2</v>
      </c>
    </row>
    <row r="92" spans="1:8" x14ac:dyDescent="0.35">
      <c r="A92" t="s">
        <v>726</v>
      </c>
      <c r="B92" t="s">
        <v>727</v>
      </c>
      <c r="C92" t="s">
        <v>546</v>
      </c>
      <c r="D92" s="5">
        <v>44237</v>
      </c>
      <c r="E92">
        <v>153613</v>
      </c>
      <c r="F92">
        <v>4</v>
      </c>
      <c r="G92" t="s">
        <v>39</v>
      </c>
      <c r="H92" s="7">
        <f t="shared" ca="1" si="1"/>
        <v>5</v>
      </c>
    </row>
    <row r="93" spans="1:8" x14ac:dyDescent="0.35">
      <c r="A93" t="s">
        <v>728</v>
      </c>
      <c r="B93" t="s">
        <v>729</v>
      </c>
      <c r="C93" t="s">
        <v>549</v>
      </c>
      <c r="D93" s="5">
        <v>43986</v>
      </c>
      <c r="E93">
        <v>192155</v>
      </c>
      <c r="F93">
        <v>2</v>
      </c>
      <c r="G93" t="s">
        <v>39</v>
      </c>
      <c r="H93" s="7">
        <f t="shared" ca="1" si="1"/>
        <v>6</v>
      </c>
    </row>
    <row r="94" spans="1:8" x14ac:dyDescent="0.35">
      <c r="A94" t="s">
        <v>730</v>
      </c>
      <c r="B94" t="s">
        <v>731</v>
      </c>
      <c r="C94" t="s">
        <v>546</v>
      </c>
      <c r="D94" s="5">
        <v>45043</v>
      </c>
      <c r="E94">
        <v>58354</v>
      </c>
      <c r="F94">
        <v>2</v>
      </c>
      <c r="G94" t="s">
        <v>14</v>
      </c>
      <c r="H94" s="7">
        <f t="shared" ca="1" si="1"/>
        <v>3</v>
      </c>
    </row>
    <row r="95" spans="1:8" x14ac:dyDescent="0.35">
      <c r="A95" t="s">
        <v>732</v>
      </c>
      <c r="B95" t="s">
        <v>733</v>
      </c>
      <c r="C95" t="s">
        <v>546</v>
      </c>
      <c r="D95" s="5">
        <v>45245</v>
      </c>
      <c r="E95">
        <v>62190</v>
      </c>
      <c r="F95">
        <v>4</v>
      </c>
      <c r="G95" t="s">
        <v>37</v>
      </c>
      <c r="H95" s="7">
        <f t="shared" ca="1" si="1"/>
        <v>2</v>
      </c>
    </row>
    <row r="96" spans="1:8" x14ac:dyDescent="0.35">
      <c r="A96" t="s">
        <v>734</v>
      </c>
      <c r="B96" t="s">
        <v>735</v>
      </c>
      <c r="C96" t="s">
        <v>549</v>
      </c>
      <c r="D96" s="5">
        <v>45115</v>
      </c>
      <c r="E96">
        <v>46142</v>
      </c>
      <c r="F96">
        <v>4</v>
      </c>
      <c r="G96" t="s">
        <v>24</v>
      </c>
      <c r="H96" s="7">
        <f t="shared" ca="1" si="1"/>
        <v>3</v>
      </c>
    </row>
    <row r="97" spans="1:8" x14ac:dyDescent="0.35">
      <c r="A97" t="s">
        <v>736</v>
      </c>
      <c r="B97" t="s">
        <v>737</v>
      </c>
      <c r="C97" t="s">
        <v>563</v>
      </c>
      <c r="D97" s="5">
        <v>44328</v>
      </c>
      <c r="E97">
        <v>199470</v>
      </c>
      <c r="F97">
        <v>5</v>
      </c>
      <c r="G97" t="s">
        <v>24</v>
      </c>
      <c r="H97" s="7">
        <f t="shared" ca="1" si="1"/>
        <v>5</v>
      </c>
    </row>
    <row r="98" spans="1:8" x14ac:dyDescent="0.35">
      <c r="A98" t="s">
        <v>738</v>
      </c>
      <c r="B98" t="s">
        <v>739</v>
      </c>
      <c r="C98" t="s">
        <v>546</v>
      </c>
      <c r="D98" s="5">
        <v>44039</v>
      </c>
      <c r="E98">
        <v>81862</v>
      </c>
      <c r="F98">
        <v>4</v>
      </c>
      <c r="G98" t="s">
        <v>19</v>
      </c>
      <c r="H98" s="7">
        <f t="shared" ca="1" si="1"/>
        <v>6</v>
      </c>
    </row>
    <row r="99" spans="1:8" x14ac:dyDescent="0.35">
      <c r="A99" t="s">
        <v>740</v>
      </c>
      <c r="B99" t="s">
        <v>741</v>
      </c>
      <c r="C99" t="s">
        <v>543</v>
      </c>
      <c r="D99" s="5">
        <v>45258</v>
      </c>
      <c r="E99">
        <v>190575</v>
      </c>
      <c r="F99">
        <v>5</v>
      </c>
      <c r="G99" t="s">
        <v>21</v>
      </c>
      <c r="H99" s="7">
        <f t="shared" ca="1" si="1"/>
        <v>2</v>
      </c>
    </row>
    <row r="100" spans="1:8" x14ac:dyDescent="0.35">
      <c r="A100" t="s">
        <v>742</v>
      </c>
      <c r="B100" t="s">
        <v>743</v>
      </c>
      <c r="C100" t="s">
        <v>563</v>
      </c>
      <c r="D100" s="5">
        <v>44448</v>
      </c>
      <c r="E100">
        <v>165438</v>
      </c>
      <c r="F100">
        <v>3</v>
      </c>
      <c r="G100" t="s">
        <v>19</v>
      </c>
      <c r="H100" s="7">
        <f t="shared" ca="1" si="1"/>
        <v>5</v>
      </c>
    </row>
    <row r="101" spans="1:8" x14ac:dyDescent="0.35">
      <c r="A101" t="s">
        <v>744</v>
      </c>
      <c r="B101" t="s">
        <v>745</v>
      </c>
      <c r="C101" t="s">
        <v>549</v>
      </c>
      <c r="D101" s="5">
        <v>45232</v>
      </c>
      <c r="E101">
        <v>88456</v>
      </c>
      <c r="F101">
        <v>2</v>
      </c>
      <c r="G101" t="s">
        <v>19</v>
      </c>
      <c r="H101" s="7">
        <f t="shared" ca="1" si="1"/>
        <v>2</v>
      </c>
    </row>
  </sheetData>
  <autoFilter ref="A1:H101" xr:uid="{00000000-0001-0000-01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defaultRowHeight="14.5" x14ac:dyDescent="0.35"/>
  <sheetData>
    <row r="1" spans="1:4" x14ac:dyDescent="0.35">
      <c r="A1" s="1" t="s">
        <v>746</v>
      </c>
      <c r="B1" s="1" t="s">
        <v>747</v>
      </c>
      <c r="C1" s="1" t="s">
        <v>3</v>
      </c>
      <c r="D1" s="1" t="s">
        <v>748</v>
      </c>
    </row>
    <row r="2" spans="1:4" x14ac:dyDescent="0.35">
      <c r="A2" t="s">
        <v>749</v>
      </c>
      <c r="B2" t="s">
        <v>54</v>
      </c>
      <c r="C2" t="s">
        <v>13</v>
      </c>
      <c r="D2">
        <v>70000</v>
      </c>
    </row>
    <row r="3" spans="1:4" x14ac:dyDescent="0.35">
      <c r="A3" t="s">
        <v>750</v>
      </c>
      <c r="B3" t="s">
        <v>12</v>
      </c>
      <c r="C3" t="s">
        <v>13</v>
      </c>
      <c r="D3">
        <v>35000</v>
      </c>
    </row>
    <row r="4" spans="1:4" x14ac:dyDescent="0.35">
      <c r="A4" t="s">
        <v>751</v>
      </c>
      <c r="B4" t="s">
        <v>23</v>
      </c>
      <c r="C4" t="s">
        <v>13</v>
      </c>
      <c r="D4">
        <v>18000</v>
      </c>
    </row>
    <row r="5" spans="1:4" x14ac:dyDescent="0.35">
      <c r="A5" t="s">
        <v>752</v>
      </c>
      <c r="B5" t="s">
        <v>17</v>
      </c>
      <c r="C5" t="s">
        <v>18</v>
      </c>
      <c r="D5">
        <v>2000</v>
      </c>
    </row>
    <row r="6" spans="1:4" x14ac:dyDescent="0.35">
      <c r="A6" t="s">
        <v>753</v>
      </c>
      <c r="B6" t="s">
        <v>36</v>
      </c>
      <c r="C6" t="s">
        <v>18</v>
      </c>
      <c r="D6">
        <v>800</v>
      </c>
    </row>
    <row r="7" spans="1:4" x14ac:dyDescent="0.35">
      <c r="A7" t="s">
        <v>754</v>
      </c>
      <c r="B7" t="s">
        <v>42</v>
      </c>
      <c r="C7" t="s">
        <v>18</v>
      </c>
      <c r="D7">
        <v>600</v>
      </c>
    </row>
    <row r="8" spans="1:4" x14ac:dyDescent="0.35">
      <c r="A8" t="s">
        <v>755</v>
      </c>
      <c r="B8" t="s">
        <v>27</v>
      </c>
      <c r="C8" t="s">
        <v>18</v>
      </c>
      <c r="D8">
        <v>900</v>
      </c>
    </row>
    <row r="9" spans="1:4" x14ac:dyDescent="0.35">
      <c r="A9" t="s">
        <v>756</v>
      </c>
      <c r="B9" t="s">
        <v>31</v>
      </c>
      <c r="C9" t="s">
        <v>13</v>
      </c>
      <c r="D9">
        <v>15000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1"/>
  <sheetViews>
    <sheetView workbookViewId="0"/>
  </sheetViews>
  <sheetFormatPr defaultRowHeight="14.5" x14ac:dyDescent="0.35"/>
  <sheetData>
    <row r="1" spans="1:4" x14ac:dyDescent="0.35">
      <c r="A1" s="1" t="s">
        <v>757</v>
      </c>
      <c r="B1" s="1" t="s">
        <v>758</v>
      </c>
      <c r="C1" s="1" t="s">
        <v>4</v>
      </c>
      <c r="D1" s="1" t="s">
        <v>759</v>
      </c>
    </row>
    <row r="2" spans="1:4" x14ac:dyDescent="0.35">
      <c r="A2" t="s">
        <v>760</v>
      </c>
      <c r="B2" t="s">
        <v>761</v>
      </c>
      <c r="C2" t="s">
        <v>24</v>
      </c>
      <c r="D2" t="s">
        <v>762</v>
      </c>
    </row>
    <row r="3" spans="1:4" x14ac:dyDescent="0.35">
      <c r="A3" t="s">
        <v>763</v>
      </c>
      <c r="B3" t="s">
        <v>764</v>
      </c>
      <c r="C3" t="s">
        <v>14</v>
      </c>
      <c r="D3" t="s">
        <v>765</v>
      </c>
    </row>
    <row r="4" spans="1:4" x14ac:dyDescent="0.35">
      <c r="A4" t="s">
        <v>766</v>
      </c>
      <c r="B4" t="s">
        <v>767</v>
      </c>
      <c r="C4" t="s">
        <v>39</v>
      </c>
      <c r="D4" t="s">
        <v>765</v>
      </c>
    </row>
    <row r="5" spans="1:4" x14ac:dyDescent="0.35">
      <c r="A5" t="s">
        <v>768</v>
      </c>
      <c r="B5" t="s">
        <v>769</v>
      </c>
      <c r="C5" t="s">
        <v>39</v>
      </c>
      <c r="D5" t="s">
        <v>770</v>
      </c>
    </row>
    <row r="6" spans="1:4" x14ac:dyDescent="0.35">
      <c r="A6" t="s">
        <v>771</v>
      </c>
      <c r="B6" t="s">
        <v>772</v>
      </c>
      <c r="C6" t="s">
        <v>39</v>
      </c>
      <c r="D6" t="s">
        <v>762</v>
      </c>
    </row>
    <row r="7" spans="1:4" x14ac:dyDescent="0.35">
      <c r="A7" t="s">
        <v>773</v>
      </c>
      <c r="B7" t="s">
        <v>774</v>
      </c>
      <c r="C7" t="s">
        <v>37</v>
      </c>
      <c r="D7" t="s">
        <v>770</v>
      </c>
    </row>
    <row r="8" spans="1:4" x14ac:dyDescent="0.35">
      <c r="A8" t="s">
        <v>775</v>
      </c>
      <c r="B8" t="s">
        <v>776</v>
      </c>
      <c r="C8" t="s">
        <v>24</v>
      </c>
      <c r="D8" t="s">
        <v>770</v>
      </c>
    </row>
    <row r="9" spans="1:4" x14ac:dyDescent="0.35">
      <c r="A9" t="s">
        <v>777</v>
      </c>
      <c r="B9" t="s">
        <v>778</v>
      </c>
      <c r="C9" t="s">
        <v>14</v>
      </c>
      <c r="D9" t="s">
        <v>765</v>
      </c>
    </row>
    <row r="10" spans="1:4" x14ac:dyDescent="0.35">
      <c r="A10" t="s">
        <v>779</v>
      </c>
      <c r="B10" t="s">
        <v>780</v>
      </c>
      <c r="C10" t="s">
        <v>37</v>
      </c>
      <c r="D10" t="s">
        <v>762</v>
      </c>
    </row>
    <row r="11" spans="1:4" x14ac:dyDescent="0.35">
      <c r="A11" t="s">
        <v>781</v>
      </c>
      <c r="B11" t="s">
        <v>782</v>
      </c>
      <c r="C11" t="s">
        <v>21</v>
      </c>
      <c r="D11" t="s">
        <v>762</v>
      </c>
    </row>
    <row r="12" spans="1:4" x14ac:dyDescent="0.35">
      <c r="A12" t="s">
        <v>783</v>
      </c>
      <c r="B12" t="s">
        <v>784</v>
      </c>
      <c r="C12" t="s">
        <v>14</v>
      </c>
      <c r="D12" t="s">
        <v>762</v>
      </c>
    </row>
    <row r="13" spans="1:4" x14ac:dyDescent="0.35">
      <c r="A13" t="s">
        <v>785</v>
      </c>
      <c r="B13" t="s">
        <v>786</v>
      </c>
      <c r="C13" t="s">
        <v>19</v>
      </c>
      <c r="D13" t="s">
        <v>765</v>
      </c>
    </row>
    <row r="14" spans="1:4" x14ac:dyDescent="0.35">
      <c r="A14" t="s">
        <v>787</v>
      </c>
      <c r="B14" t="s">
        <v>788</v>
      </c>
      <c r="C14" t="s">
        <v>14</v>
      </c>
      <c r="D14" t="s">
        <v>765</v>
      </c>
    </row>
    <row r="15" spans="1:4" x14ac:dyDescent="0.35">
      <c r="A15" t="s">
        <v>789</v>
      </c>
      <c r="B15" t="s">
        <v>790</v>
      </c>
      <c r="C15" t="s">
        <v>14</v>
      </c>
      <c r="D15" t="s">
        <v>765</v>
      </c>
    </row>
    <row r="16" spans="1:4" x14ac:dyDescent="0.35">
      <c r="A16" t="s">
        <v>791</v>
      </c>
      <c r="B16" t="s">
        <v>792</v>
      </c>
      <c r="C16" t="s">
        <v>39</v>
      </c>
      <c r="D16" t="s">
        <v>765</v>
      </c>
    </row>
    <row r="17" spans="1:4" x14ac:dyDescent="0.35">
      <c r="A17" t="s">
        <v>793</v>
      </c>
      <c r="B17" t="s">
        <v>794</v>
      </c>
      <c r="C17" t="s">
        <v>14</v>
      </c>
      <c r="D17" t="s">
        <v>765</v>
      </c>
    </row>
    <row r="18" spans="1:4" x14ac:dyDescent="0.35">
      <c r="A18" t="s">
        <v>795</v>
      </c>
      <c r="B18" t="s">
        <v>796</v>
      </c>
      <c r="C18" t="s">
        <v>19</v>
      </c>
      <c r="D18" t="s">
        <v>762</v>
      </c>
    </row>
    <row r="19" spans="1:4" x14ac:dyDescent="0.35">
      <c r="A19" t="s">
        <v>797</v>
      </c>
      <c r="B19" t="s">
        <v>798</v>
      </c>
      <c r="C19" t="s">
        <v>19</v>
      </c>
      <c r="D19" t="s">
        <v>770</v>
      </c>
    </row>
    <row r="20" spans="1:4" x14ac:dyDescent="0.35">
      <c r="A20" t="s">
        <v>799</v>
      </c>
      <c r="B20" t="s">
        <v>800</v>
      </c>
      <c r="C20" t="s">
        <v>24</v>
      </c>
      <c r="D20" t="s">
        <v>762</v>
      </c>
    </row>
    <row r="21" spans="1:4" x14ac:dyDescent="0.35">
      <c r="A21" t="s">
        <v>801</v>
      </c>
      <c r="B21" t="s">
        <v>802</v>
      </c>
      <c r="C21" t="s">
        <v>14</v>
      </c>
      <c r="D21" t="s">
        <v>770</v>
      </c>
    </row>
    <row r="22" spans="1:4" x14ac:dyDescent="0.35">
      <c r="A22" t="s">
        <v>803</v>
      </c>
      <c r="B22" t="s">
        <v>804</v>
      </c>
      <c r="C22" t="s">
        <v>39</v>
      </c>
      <c r="D22" t="s">
        <v>765</v>
      </c>
    </row>
    <row r="23" spans="1:4" x14ac:dyDescent="0.35">
      <c r="A23" t="s">
        <v>805</v>
      </c>
      <c r="B23" t="s">
        <v>806</v>
      </c>
      <c r="C23" t="s">
        <v>14</v>
      </c>
      <c r="D23" t="s">
        <v>770</v>
      </c>
    </row>
    <row r="24" spans="1:4" x14ac:dyDescent="0.35">
      <c r="A24" t="s">
        <v>807</v>
      </c>
      <c r="B24" t="s">
        <v>808</v>
      </c>
      <c r="C24" t="s">
        <v>21</v>
      </c>
      <c r="D24" t="s">
        <v>762</v>
      </c>
    </row>
    <row r="25" spans="1:4" x14ac:dyDescent="0.35">
      <c r="A25" t="s">
        <v>809</v>
      </c>
      <c r="B25" t="s">
        <v>810</v>
      </c>
      <c r="C25" t="s">
        <v>21</v>
      </c>
      <c r="D25" t="s">
        <v>762</v>
      </c>
    </row>
    <row r="26" spans="1:4" x14ac:dyDescent="0.35">
      <c r="A26" t="s">
        <v>811</v>
      </c>
      <c r="B26" t="s">
        <v>812</v>
      </c>
      <c r="C26" t="s">
        <v>39</v>
      </c>
      <c r="D26" t="s">
        <v>770</v>
      </c>
    </row>
    <row r="27" spans="1:4" x14ac:dyDescent="0.35">
      <c r="A27" t="s">
        <v>813</v>
      </c>
      <c r="B27" t="s">
        <v>814</v>
      </c>
      <c r="C27" t="s">
        <v>24</v>
      </c>
      <c r="D27" t="s">
        <v>765</v>
      </c>
    </row>
    <row r="28" spans="1:4" x14ac:dyDescent="0.35">
      <c r="A28" t="s">
        <v>815</v>
      </c>
      <c r="B28" t="s">
        <v>816</v>
      </c>
      <c r="C28" t="s">
        <v>24</v>
      </c>
      <c r="D28" t="s">
        <v>765</v>
      </c>
    </row>
    <row r="29" spans="1:4" x14ac:dyDescent="0.35">
      <c r="A29" t="s">
        <v>817</v>
      </c>
      <c r="B29" t="s">
        <v>818</v>
      </c>
      <c r="C29" t="s">
        <v>19</v>
      </c>
      <c r="D29" t="s">
        <v>762</v>
      </c>
    </row>
    <row r="30" spans="1:4" x14ac:dyDescent="0.35">
      <c r="A30" t="s">
        <v>819</v>
      </c>
      <c r="B30" t="s">
        <v>820</v>
      </c>
      <c r="C30" t="s">
        <v>19</v>
      </c>
      <c r="D30" t="s">
        <v>770</v>
      </c>
    </row>
    <row r="31" spans="1:4" x14ac:dyDescent="0.35">
      <c r="A31" t="s">
        <v>821</v>
      </c>
      <c r="B31" t="s">
        <v>822</v>
      </c>
      <c r="C31" t="s">
        <v>37</v>
      </c>
      <c r="D31" t="s">
        <v>765</v>
      </c>
    </row>
    <row r="32" spans="1:4" x14ac:dyDescent="0.35">
      <c r="A32" t="s">
        <v>823</v>
      </c>
      <c r="B32" t="s">
        <v>824</v>
      </c>
      <c r="C32" t="s">
        <v>39</v>
      </c>
      <c r="D32" t="s">
        <v>765</v>
      </c>
    </row>
    <row r="33" spans="1:4" x14ac:dyDescent="0.35">
      <c r="A33" t="s">
        <v>825</v>
      </c>
      <c r="B33" t="s">
        <v>826</v>
      </c>
      <c r="C33" t="s">
        <v>14</v>
      </c>
      <c r="D33" t="s">
        <v>762</v>
      </c>
    </row>
    <row r="34" spans="1:4" x14ac:dyDescent="0.35">
      <c r="A34" t="s">
        <v>827</v>
      </c>
      <c r="B34" t="s">
        <v>828</v>
      </c>
      <c r="C34" t="s">
        <v>39</v>
      </c>
      <c r="D34" t="s">
        <v>765</v>
      </c>
    </row>
    <row r="35" spans="1:4" x14ac:dyDescent="0.35">
      <c r="A35" t="s">
        <v>829</v>
      </c>
      <c r="B35" t="s">
        <v>830</v>
      </c>
      <c r="C35" t="s">
        <v>37</v>
      </c>
      <c r="D35" t="s">
        <v>770</v>
      </c>
    </row>
    <row r="36" spans="1:4" x14ac:dyDescent="0.35">
      <c r="A36" t="s">
        <v>831</v>
      </c>
      <c r="B36" t="s">
        <v>832</v>
      </c>
      <c r="C36" t="s">
        <v>19</v>
      </c>
      <c r="D36" t="s">
        <v>762</v>
      </c>
    </row>
    <row r="37" spans="1:4" x14ac:dyDescent="0.35">
      <c r="A37" t="s">
        <v>833</v>
      </c>
      <c r="B37" t="s">
        <v>834</v>
      </c>
      <c r="C37" t="s">
        <v>39</v>
      </c>
      <c r="D37" t="s">
        <v>762</v>
      </c>
    </row>
    <row r="38" spans="1:4" x14ac:dyDescent="0.35">
      <c r="A38" t="s">
        <v>835</v>
      </c>
      <c r="B38" t="s">
        <v>836</v>
      </c>
      <c r="C38" t="s">
        <v>39</v>
      </c>
      <c r="D38" t="s">
        <v>770</v>
      </c>
    </row>
    <row r="39" spans="1:4" x14ac:dyDescent="0.35">
      <c r="A39" t="s">
        <v>837</v>
      </c>
      <c r="B39" t="s">
        <v>838</v>
      </c>
      <c r="C39" t="s">
        <v>19</v>
      </c>
      <c r="D39" t="s">
        <v>762</v>
      </c>
    </row>
    <row r="40" spans="1:4" x14ac:dyDescent="0.35">
      <c r="A40" t="s">
        <v>839</v>
      </c>
      <c r="B40" t="s">
        <v>840</v>
      </c>
      <c r="C40" t="s">
        <v>37</v>
      </c>
      <c r="D40" t="s">
        <v>765</v>
      </c>
    </row>
    <row r="41" spans="1:4" x14ac:dyDescent="0.35">
      <c r="A41" t="s">
        <v>841</v>
      </c>
      <c r="B41" t="s">
        <v>842</v>
      </c>
      <c r="C41" t="s">
        <v>19</v>
      </c>
      <c r="D41" t="s">
        <v>765</v>
      </c>
    </row>
    <row r="42" spans="1:4" x14ac:dyDescent="0.35">
      <c r="A42" t="s">
        <v>843</v>
      </c>
      <c r="B42" t="s">
        <v>844</v>
      </c>
      <c r="C42" t="s">
        <v>24</v>
      </c>
      <c r="D42" t="s">
        <v>770</v>
      </c>
    </row>
    <row r="43" spans="1:4" x14ac:dyDescent="0.35">
      <c r="A43" t="s">
        <v>845</v>
      </c>
      <c r="B43" t="s">
        <v>846</v>
      </c>
      <c r="C43" t="s">
        <v>14</v>
      </c>
      <c r="D43" t="s">
        <v>765</v>
      </c>
    </row>
    <row r="44" spans="1:4" x14ac:dyDescent="0.35">
      <c r="A44" t="s">
        <v>847</v>
      </c>
      <c r="B44" t="s">
        <v>848</v>
      </c>
      <c r="C44" t="s">
        <v>19</v>
      </c>
      <c r="D44" t="s">
        <v>770</v>
      </c>
    </row>
    <row r="45" spans="1:4" x14ac:dyDescent="0.35">
      <c r="A45" t="s">
        <v>849</v>
      </c>
      <c r="B45" t="s">
        <v>850</v>
      </c>
      <c r="C45" t="s">
        <v>37</v>
      </c>
      <c r="D45" t="s">
        <v>770</v>
      </c>
    </row>
    <row r="46" spans="1:4" x14ac:dyDescent="0.35">
      <c r="A46" t="s">
        <v>851</v>
      </c>
      <c r="B46" t="s">
        <v>852</v>
      </c>
      <c r="C46" t="s">
        <v>21</v>
      </c>
      <c r="D46" t="s">
        <v>765</v>
      </c>
    </row>
    <row r="47" spans="1:4" x14ac:dyDescent="0.35">
      <c r="A47" t="s">
        <v>853</v>
      </c>
      <c r="B47" t="s">
        <v>854</v>
      </c>
      <c r="C47" t="s">
        <v>24</v>
      </c>
      <c r="D47" t="s">
        <v>770</v>
      </c>
    </row>
    <row r="48" spans="1:4" x14ac:dyDescent="0.35">
      <c r="A48" t="s">
        <v>855</v>
      </c>
      <c r="B48" t="s">
        <v>856</v>
      </c>
      <c r="C48" t="s">
        <v>21</v>
      </c>
      <c r="D48" t="s">
        <v>765</v>
      </c>
    </row>
    <row r="49" spans="1:4" x14ac:dyDescent="0.35">
      <c r="A49" t="s">
        <v>857</v>
      </c>
      <c r="B49" t="s">
        <v>858</v>
      </c>
      <c r="C49" t="s">
        <v>19</v>
      </c>
      <c r="D49" t="s">
        <v>762</v>
      </c>
    </row>
    <row r="50" spans="1:4" x14ac:dyDescent="0.35">
      <c r="A50" t="s">
        <v>859</v>
      </c>
      <c r="B50" t="s">
        <v>860</v>
      </c>
      <c r="C50" t="s">
        <v>24</v>
      </c>
      <c r="D50" t="s">
        <v>762</v>
      </c>
    </row>
    <row r="51" spans="1:4" x14ac:dyDescent="0.35">
      <c r="A51" t="s">
        <v>861</v>
      </c>
      <c r="B51" t="s">
        <v>862</v>
      </c>
      <c r="C51" t="s">
        <v>14</v>
      </c>
      <c r="D51" t="s">
        <v>770</v>
      </c>
    </row>
    <row r="52" spans="1:4" x14ac:dyDescent="0.35">
      <c r="A52" t="s">
        <v>863</v>
      </c>
      <c r="B52" t="s">
        <v>864</v>
      </c>
      <c r="C52" t="s">
        <v>19</v>
      </c>
      <c r="D52" t="s">
        <v>765</v>
      </c>
    </row>
    <row r="53" spans="1:4" x14ac:dyDescent="0.35">
      <c r="A53" t="s">
        <v>865</v>
      </c>
      <c r="B53" t="s">
        <v>866</v>
      </c>
      <c r="C53" t="s">
        <v>14</v>
      </c>
      <c r="D53" t="s">
        <v>765</v>
      </c>
    </row>
    <row r="54" spans="1:4" x14ac:dyDescent="0.35">
      <c r="A54" t="s">
        <v>867</v>
      </c>
      <c r="B54" t="s">
        <v>868</v>
      </c>
      <c r="C54" t="s">
        <v>39</v>
      </c>
      <c r="D54" t="s">
        <v>762</v>
      </c>
    </row>
    <row r="55" spans="1:4" x14ac:dyDescent="0.35">
      <c r="A55" t="s">
        <v>869</v>
      </c>
      <c r="B55" t="s">
        <v>870</v>
      </c>
      <c r="C55" t="s">
        <v>21</v>
      </c>
      <c r="D55" t="s">
        <v>762</v>
      </c>
    </row>
    <row r="56" spans="1:4" x14ac:dyDescent="0.35">
      <c r="A56" t="s">
        <v>871</v>
      </c>
      <c r="B56" t="s">
        <v>872</v>
      </c>
      <c r="C56" t="s">
        <v>24</v>
      </c>
      <c r="D56" t="s">
        <v>765</v>
      </c>
    </row>
    <row r="57" spans="1:4" x14ac:dyDescent="0.35">
      <c r="A57" t="s">
        <v>873</v>
      </c>
      <c r="B57" t="s">
        <v>874</v>
      </c>
      <c r="C57" t="s">
        <v>14</v>
      </c>
      <c r="D57" t="s">
        <v>770</v>
      </c>
    </row>
    <row r="58" spans="1:4" x14ac:dyDescent="0.35">
      <c r="A58" t="s">
        <v>875</v>
      </c>
      <c r="B58" t="s">
        <v>876</v>
      </c>
      <c r="C58" t="s">
        <v>37</v>
      </c>
      <c r="D58" t="s">
        <v>762</v>
      </c>
    </row>
    <row r="59" spans="1:4" x14ac:dyDescent="0.35">
      <c r="A59" t="s">
        <v>877</v>
      </c>
      <c r="B59" t="s">
        <v>878</v>
      </c>
      <c r="C59" t="s">
        <v>14</v>
      </c>
      <c r="D59" t="s">
        <v>770</v>
      </c>
    </row>
    <row r="60" spans="1:4" x14ac:dyDescent="0.35">
      <c r="A60" t="s">
        <v>879</v>
      </c>
      <c r="B60" t="s">
        <v>880</v>
      </c>
      <c r="C60" t="s">
        <v>37</v>
      </c>
      <c r="D60" t="s">
        <v>770</v>
      </c>
    </row>
    <row r="61" spans="1:4" x14ac:dyDescent="0.35">
      <c r="A61" t="s">
        <v>881</v>
      </c>
      <c r="B61" t="s">
        <v>882</v>
      </c>
      <c r="C61" t="s">
        <v>19</v>
      </c>
      <c r="D61" t="s">
        <v>762</v>
      </c>
    </row>
    <row r="62" spans="1:4" x14ac:dyDescent="0.35">
      <c r="A62" t="s">
        <v>883</v>
      </c>
      <c r="B62" t="s">
        <v>884</v>
      </c>
      <c r="C62" t="s">
        <v>24</v>
      </c>
      <c r="D62" t="s">
        <v>770</v>
      </c>
    </row>
    <row r="63" spans="1:4" x14ac:dyDescent="0.35">
      <c r="A63" t="s">
        <v>885</v>
      </c>
      <c r="B63" t="s">
        <v>886</v>
      </c>
      <c r="C63" t="s">
        <v>14</v>
      </c>
      <c r="D63" t="s">
        <v>770</v>
      </c>
    </row>
    <row r="64" spans="1:4" x14ac:dyDescent="0.35">
      <c r="A64" t="s">
        <v>887</v>
      </c>
      <c r="B64" t="s">
        <v>888</v>
      </c>
      <c r="C64" t="s">
        <v>14</v>
      </c>
      <c r="D64" t="s">
        <v>765</v>
      </c>
    </row>
    <row r="65" spans="1:4" x14ac:dyDescent="0.35">
      <c r="A65" t="s">
        <v>889</v>
      </c>
      <c r="B65" t="s">
        <v>890</v>
      </c>
      <c r="C65" t="s">
        <v>24</v>
      </c>
      <c r="D65" t="s">
        <v>770</v>
      </c>
    </row>
    <row r="66" spans="1:4" x14ac:dyDescent="0.35">
      <c r="A66" t="s">
        <v>891</v>
      </c>
      <c r="B66" t="s">
        <v>892</v>
      </c>
      <c r="C66" t="s">
        <v>14</v>
      </c>
      <c r="D66" t="s">
        <v>765</v>
      </c>
    </row>
    <row r="67" spans="1:4" x14ac:dyDescent="0.35">
      <c r="A67" t="s">
        <v>893</v>
      </c>
      <c r="B67" t="s">
        <v>894</v>
      </c>
      <c r="C67" t="s">
        <v>37</v>
      </c>
      <c r="D67" t="s">
        <v>762</v>
      </c>
    </row>
    <row r="68" spans="1:4" x14ac:dyDescent="0.35">
      <c r="A68" t="s">
        <v>895</v>
      </c>
      <c r="B68" t="s">
        <v>896</v>
      </c>
      <c r="C68" t="s">
        <v>14</v>
      </c>
      <c r="D68" t="s">
        <v>762</v>
      </c>
    </row>
    <row r="69" spans="1:4" x14ac:dyDescent="0.35">
      <c r="A69" t="s">
        <v>897</v>
      </c>
      <c r="B69" t="s">
        <v>898</v>
      </c>
      <c r="C69" t="s">
        <v>21</v>
      </c>
      <c r="D69" t="s">
        <v>765</v>
      </c>
    </row>
    <row r="70" spans="1:4" x14ac:dyDescent="0.35">
      <c r="A70" t="s">
        <v>899</v>
      </c>
      <c r="B70" t="s">
        <v>900</v>
      </c>
      <c r="C70" t="s">
        <v>19</v>
      </c>
      <c r="D70" t="s">
        <v>762</v>
      </c>
    </row>
    <row r="71" spans="1:4" x14ac:dyDescent="0.35">
      <c r="A71" t="s">
        <v>901</v>
      </c>
      <c r="B71" t="s">
        <v>902</v>
      </c>
      <c r="C71" t="s">
        <v>39</v>
      </c>
      <c r="D71" t="s">
        <v>770</v>
      </c>
    </row>
    <row r="72" spans="1:4" x14ac:dyDescent="0.35">
      <c r="A72" t="s">
        <v>903</v>
      </c>
      <c r="B72" t="s">
        <v>904</v>
      </c>
      <c r="C72" t="s">
        <v>37</v>
      </c>
      <c r="D72" t="s">
        <v>770</v>
      </c>
    </row>
    <row r="73" spans="1:4" x14ac:dyDescent="0.35">
      <c r="A73" t="s">
        <v>905</v>
      </c>
      <c r="B73" t="s">
        <v>906</v>
      </c>
      <c r="C73" t="s">
        <v>21</v>
      </c>
      <c r="D73" t="s">
        <v>770</v>
      </c>
    </row>
    <row r="74" spans="1:4" x14ac:dyDescent="0.35">
      <c r="A74" t="s">
        <v>907</v>
      </c>
      <c r="B74" t="s">
        <v>908</v>
      </c>
      <c r="C74" t="s">
        <v>19</v>
      </c>
      <c r="D74" t="s">
        <v>762</v>
      </c>
    </row>
    <row r="75" spans="1:4" x14ac:dyDescent="0.35">
      <c r="A75" t="s">
        <v>909</v>
      </c>
      <c r="B75" t="s">
        <v>910</v>
      </c>
      <c r="C75" t="s">
        <v>24</v>
      </c>
      <c r="D75" t="s">
        <v>770</v>
      </c>
    </row>
    <row r="76" spans="1:4" x14ac:dyDescent="0.35">
      <c r="A76" t="s">
        <v>911</v>
      </c>
      <c r="B76" t="s">
        <v>912</v>
      </c>
      <c r="C76" t="s">
        <v>37</v>
      </c>
      <c r="D76" t="s">
        <v>762</v>
      </c>
    </row>
    <row r="77" spans="1:4" x14ac:dyDescent="0.35">
      <c r="A77" t="s">
        <v>913</v>
      </c>
      <c r="B77" t="s">
        <v>914</v>
      </c>
      <c r="C77" t="s">
        <v>39</v>
      </c>
      <c r="D77" t="s">
        <v>770</v>
      </c>
    </row>
    <row r="78" spans="1:4" x14ac:dyDescent="0.35">
      <c r="A78" t="s">
        <v>915</v>
      </c>
      <c r="B78" t="s">
        <v>916</v>
      </c>
      <c r="C78" t="s">
        <v>19</v>
      </c>
      <c r="D78" t="s">
        <v>765</v>
      </c>
    </row>
    <row r="79" spans="1:4" x14ac:dyDescent="0.35">
      <c r="A79" t="s">
        <v>917</v>
      </c>
      <c r="B79" t="s">
        <v>918</v>
      </c>
      <c r="C79" t="s">
        <v>39</v>
      </c>
      <c r="D79" t="s">
        <v>762</v>
      </c>
    </row>
    <row r="80" spans="1:4" x14ac:dyDescent="0.35">
      <c r="A80" t="s">
        <v>919</v>
      </c>
      <c r="B80" t="s">
        <v>920</v>
      </c>
      <c r="C80" t="s">
        <v>24</v>
      </c>
      <c r="D80" t="s">
        <v>762</v>
      </c>
    </row>
    <row r="81" spans="1:4" x14ac:dyDescent="0.35">
      <c r="A81" t="s">
        <v>921</v>
      </c>
      <c r="B81" t="s">
        <v>922</v>
      </c>
      <c r="C81" t="s">
        <v>24</v>
      </c>
      <c r="D81" t="s">
        <v>770</v>
      </c>
    </row>
    <row r="82" spans="1:4" x14ac:dyDescent="0.35">
      <c r="A82" t="s">
        <v>923</v>
      </c>
      <c r="B82" t="s">
        <v>924</v>
      </c>
      <c r="C82" t="s">
        <v>37</v>
      </c>
      <c r="D82" t="s">
        <v>762</v>
      </c>
    </row>
    <row r="83" spans="1:4" x14ac:dyDescent="0.35">
      <c r="A83" t="s">
        <v>925</v>
      </c>
      <c r="B83" t="s">
        <v>926</v>
      </c>
      <c r="C83" t="s">
        <v>14</v>
      </c>
      <c r="D83" t="s">
        <v>762</v>
      </c>
    </row>
    <row r="84" spans="1:4" x14ac:dyDescent="0.35">
      <c r="A84" t="s">
        <v>927</v>
      </c>
      <c r="B84" t="s">
        <v>928</v>
      </c>
      <c r="C84" t="s">
        <v>24</v>
      </c>
      <c r="D84" t="s">
        <v>765</v>
      </c>
    </row>
    <row r="85" spans="1:4" x14ac:dyDescent="0.35">
      <c r="A85" t="s">
        <v>929</v>
      </c>
      <c r="B85" t="s">
        <v>930</v>
      </c>
      <c r="C85" t="s">
        <v>19</v>
      </c>
      <c r="D85" t="s">
        <v>765</v>
      </c>
    </row>
    <row r="86" spans="1:4" x14ac:dyDescent="0.35">
      <c r="A86" t="s">
        <v>931</v>
      </c>
      <c r="B86" t="s">
        <v>932</v>
      </c>
      <c r="C86" t="s">
        <v>14</v>
      </c>
      <c r="D86" t="s">
        <v>770</v>
      </c>
    </row>
    <row r="87" spans="1:4" x14ac:dyDescent="0.35">
      <c r="A87" t="s">
        <v>933</v>
      </c>
      <c r="B87" t="s">
        <v>934</v>
      </c>
      <c r="C87" t="s">
        <v>21</v>
      </c>
      <c r="D87" t="s">
        <v>765</v>
      </c>
    </row>
    <row r="88" spans="1:4" x14ac:dyDescent="0.35">
      <c r="A88" t="s">
        <v>935</v>
      </c>
      <c r="B88" t="s">
        <v>936</v>
      </c>
      <c r="C88" t="s">
        <v>39</v>
      </c>
      <c r="D88" t="s">
        <v>770</v>
      </c>
    </row>
    <row r="89" spans="1:4" x14ac:dyDescent="0.35">
      <c r="A89" t="s">
        <v>937</v>
      </c>
      <c r="B89" t="s">
        <v>938</v>
      </c>
      <c r="C89" t="s">
        <v>14</v>
      </c>
      <c r="D89" t="s">
        <v>770</v>
      </c>
    </row>
    <row r="90" spans="1:4" x14ac:dyDescent="0.35">
      <c r="A90" t="s">
        <v>939</v>
      </c>
      <c r="B90" t="s">
        <v>940</v>
      </c>
      <c r="C90" t="s">
        <v>39</v>
      </c>
      <c r="D90" t="s">
        <v>770</v>
      </c>
    </row>
    <row r="91" spans="1:4" x14ac:dyDescent="0.35">
      <c r="A91" t="s">
        <v>941</v>
      </c>
      <c r="B91" t="s">
        <v>942</v>
      </c>
      <c r="C91" t="s">
        <v>14</v>
      </c>
      <c r="D91" t="s">
        <v>762</v>
      </c>
    </row>
    <row r="92" spans="1:4" x14ac:dyDescent="0.35">
      <c r="A92" t="s">
        <v>943</v>
      </c>
      <c r="B92" t="s">
        <v>944</v>
      </c>
      <c r="C92" t="s">
        <v>21</v>
      </c>
      <c r="D92" t="s">
        <v>765</v>
      </c>
    </row>
    <row r="93" spans="1:4" x14ac:dyDescent="0.35">
      <c r="A93" t="s">
        <v>945</v>
      </c>
      <c r="B93" t="s">
        <v>946</v>
      </c>
      <c r="C93" t="s">
        <v>24</v>
      </c>
      <c r="D93" t="s">
        <v>770</v>
      </c>
    </row>
    <row r="94" spans="1:4" x14ac:dyDescent="0.35">
      <c r="A94" t="s">
        <v>947</v>
      </c>
      <c r="B94" t="s">
        <v>948</v>
      </c>
      <c r="C94" t="s">
        <v>21</v>
      </c>
      <c r="D94" t="s">
        <v>765</v>
      </c>
    </row>
    <row r="95" spans="1:4" x14ac:dyDescent="0.35">
      <c r="A95" t="s">
        <v>949</v>
      </c>
      <c r="B95" t="s">
        <v>950</v>
      </c>
      <c r="C95" t="s">
        <v>24</v>
      </c>
      <c r="D95" t="s">
        <v>770</v>
      </c>
    </row>
    <row r="96" spans="1:4" x14ac:dyDescent="0.35">
      <c r="A96" t="s">
        <v>951</v>
      </c>
      <c r="B96" t="s">
        <v>952</v>
      </c>
      <c r="C96" t="s">
        <v>24</v>
      </c>
      <c r="D96" t="s">
        <v>765</v>
      </c>
    </row>
    <row r="97" spans="1:4" x14ac:dyDescent="0.35">
      <c r="A97" t="s">
        <v>953</v>
      </c>
      <c r="B97" t="s">
        <v>954</v>
      </c>
      <c r="C97" t="s">
        <v>39</v>
      </c>
      <c r="D97" t="s">
        <v>765</v>
      </c>
    </row>
    <row r="98" spans="1:4" x14ac:dyDescent="0.35">
      <c r="A98" t="s">
        <v>955</v>
      </c>
      <c r="B98" t="s">
        <v>956</v>
      </c>
      <c r="C98" t="s">
        <v>19</v>
      </c>
      <c r="D98" t="s">
        <v>770</v>
      </c>
    </row>
    <row r="99" spans="1:4" x14ac:dyDescent="0.35">
      <c r="A99" t="s">
        <v>957</v>
      </c>
      <c r="B99" t="s">
        <v>958</v>
      </c>
      <c r="C99" t="s">
        <v>21</v>
      </c>
      <c r="D99" t="s">
        <v>762</v>
      </c>
    </row>
    <row r="100" spans="1:4" x14ac:dyDescent="0.35">
      <c r="A100" t="s">
        <v>959</v>
      </c>
      <c r="B100" t="s">
        <v>960</v>
      </c>
      <c r="C100" t="s">
        <v>14</v>
      </c>
      <c r="D100" t="s">
        <v>765</v>
      </c>
    </row>
    <row r="101" spans="1:4" x14ac:dyDescent="0.35">
      <c r="A101" t="s">
        <v>961</v>
      </c>
      <c r="B101" t="s">
        <v>962</v>
      </c>
      <c r="C101" t="s">
        <v>21</v>
      </c>
      <c r="D101" t="s">
        <v>762</v>
      </c>
    </row>
    <row r="102" spans="1:4" x14ac:dyDescent="0.35">
      <c r="A102" t="s">
        <v>963</v>
      </c>
      <c r="B102" t="s">
        <v>964</v>
      </c>
      <c r="C102" t="s">
        <v>39</v>
      </c>
      <c r="D102" t="s">
        <v>762</v>
      </c>
    </row>
    <row r="103" spans="1:4" x14ac:dyDescent="0.35">
      <c r="A103" t="s">
        <v>965</v>
      </c>
      <c r="B103" t="s">
        <v>966</v>
      </c>
      <c r="C103" t="s">
        <v>24</v>
      </c>
      <c r="D103" t="s">
        <v>770</v>
      </c>
    </row>
    <row r="104" spans="1:4" x14ac:dyDescent="0.35">
      <c r="A104" t="s">
        <v>967</v>
      </c>
      <c r="B104" t="s">
        <v>968</v>
      </c>
      <c r="C104" t="s">
        <v>39</v>
      </c>
      <c r="D104" t="s">
        <v>770</v>
      </c>
    </row>
    <row r="105" spans="1:4" x14ac:dyDescent="0.35">
      <c r="A105" t="s">
        <v>969</v>
      </c>
      <c r="B105" t="s">
        <v>970</v>
      </c>
      <c r="C105" t="s">
        <v>37</v>
      </c>
      <c r="D105" t="s">
        <v>770</v>
      </c>
    </row>
    <row r="106" spans="1:4" x14ac:dyDescent="0.35">
      <c r="A106" t="s">
        <v>971</v>
      </c>
      <c r="B106" t="s">
        <v>972</v>
      </c>
      <c r="C106" t="s">
        <v>37</v>
      </c>
      <c r="D106" t="s">
        <v>765</v>
      </c>
    </row>
    <row r="107" spans="1:4" x14ac:dyDescent="0.35">
      <c r="A107" t="s">
        <v>973</v>
      </c>
      <c r="B107" t="s">
        <v>974</v>
      </c>
      <c r="C107" t="s">
        <v>14</v>
      </c>
      <c r="D107" t="s">
        <v>770</v>
      </c>
    </row>
    <row r="108" spans="1:4" x14ac:dyDescent="0.35">
      <c r="A108" t="s">
        <v>975</v>
      </c>
      <c r="B108" t="s">
        <v>976</v>
      </c>
      <c r="C108" t="s">
        <v>39</v>
      </c>
      <c r="D108" t="s">
        <v>770</v>
      </c>
    </row>
    <row r="109" spans="1:4" x14ac:dyDescent="0.35">
      <c r="A109" t="s">
        <v>977</v>
      </c>
      <c r="B109" t="s">
        <v>978</v>
      </c>
      <c r="C109" t="s">
        <v>14</v>
      </c>
      <c r="D109" t="s">
        <v>765</v>
      </c>
    </row>
    <row r="110" spans="1:4" x14ac:dyDescent="0.35">
      <c r="A110" t="s">
        <v>979</v>
      </c>
      <c r="B110" t="s">
        <v>980</v>
      </c>
      <c r="C110" t="s">
        <v>14</v>
      </c>
      <c r="D110" t="s">
        <v>765</v>
      </c>
    </row>
    <row r="111" spans="1:4" x14ac:dyDescent="0.35">
      <c r="A111" t="s">
        <v>981</v>
      </c>
      <c r="B111" t="s">
        <v>982</v>
      </c>
      <c r="C111" t="s">
        <v>37</v>
      </c>
      <c r="D111" t="s">
        <v>770</v>
      </c>
    </row>
    <row r="112" spans="1:4" x14ac:dyDescent="0.35">
      <c r="A112" t="s">
        <v>983</v>
      </c>
      <c r="B112" t="s">
        <v>984</v>
      </c>
      <c r="C112" t="s">
        <v>14</v>
      </c>
      <c r="D112" t="s">
        <v>770</v>
      </c>
    </row>
    <row r="113" spans="1:4" x14ac:dyDescent="0.35">
      <c r="A113" t="s">
        <v>985</v>
      </c>
      <c r="B113" t="s">
        <v>986</v>
      </c>
      <c r="C113" t="s">
        <v>37</v>
      </c>
      <c r="D113" t="s">
        <v>770</v>
      </c>
    </row>
    <row r="114" spans="1:4" x14ac:dyDescent="0.35">
      <c r="A114" t="s">
        <v>987</v>
      </c>
      <c r="B114" t="s">
        <v>988</v>
      </c>
      <c r="C114" t="s">
        <v>24</v>
      </c>
      <c r="D114" t="s">
        <v>770</v>
      </c>
    </row>
    <row r="115" spans="1:4" x14ac:dyDescent="0.35">
      <c r="A115" t="s">
        <v>989</v>
      </c>
      <c r="B115" t="s">
        <v>990</v>
      </c>
      <c r="C115" t="s">
        <v>39</v>
      </c>
      <c r="D115" t="s">
        <v>762</v>
      </c>
    </row>
    <row r="116" spans="1:4" x14ac:dyDescent="0.35">
      <c r="A116" t="s">
        <v>991</v>
      </c>
      <c r="B116" t="s">
        <v>992</v>
      </c>
      <c r="C116" t="s">
        <v>14</v>
      </c>
      <c r="D116" t="s">
        <v>762</v>
      </c>
    </row>
    <row r="117" spans="1:4" x14ac:dyDescent="0.35">
      <c r="A117" t="s">
        <v>993</v>
      </c>
      <c r="B117" t="s">
        <v>994</v>
      </c>
      <c r="C117" t="s">
        <v>37</v>
      </c>
      <c r="D117" t="s">
        <v>770</v>
      </c>
    </row>
    <row r="118" spans="1:4" x14ac:dyDescent="0.35">
      <c r="A118" t="s">
        <v>995</v>
      </c>
      <c r="B118" t="s">
        <v>996</v>
      </c>
      <c r="C118" t="s">
        <v>21</v>
      </c>
      <c r="D118" t="s">
        <v>762</v>
      </c>
    </row>
    <row r="119" spans="1:4" x14ac:dyDescent="0.35">
      <c r="A119" t="s">
        <v>997</v>
      </c>
      <c r="B119" t="s">
        <v>998</v>
      </c>
      <c r="C119" t="s">
        <v>14</v>
      </c>
      <c r="D119" t="s">
        <v>765</v>
      </c>
    </row>
    <row r="120" spans="1:4" x14ac:dyDescent="0.35">
      <c r="A120" t="s">
        <v>999</v>
      </c>
      <c r="B120" t="s">
        <v>1000</v>
      </c>
      <c r="C120" t="s">
        <v>19</v>
      </c>
      <c r="D120" t="s">
        <v>762</v>
      </c>
    </row>
    <row r="121" spans="1:4" x14ac:dyDescent="0.35">
      <c r="A121" t="s">
        <v>1001</v>
      </c>
      <c r="B121" t="s">
        <v>1002</v>
      </c>
      <c r="C121" t="s">
        <v>24</v>
      </c>
      <c r="D121" t="s">
        <v>762</v>
      </c>
    </row>
    <row r="122" spans="1:4" x14ac:dyDescent="0.35">
      <c r="A122" t="s">
        <v>1003</v>
      </c>
      <c r="B122" t="s">
        <v>1004</v>
      </c>
      <c r="C122" t="s">
        <v>24</v>
      </c>
      <c r="D122" t="s">
        <v>770</v>
      </c>
    </row>
    <row r="123" spans="1:4" x14ac:dyDescent="0.35">
      <c r="A123" t="s">
        <v>1005</v>
      </c>
      <c r="B123" t="s">
        <v>1006</v>
      </c>
      <c r="C123" t="s">
        <v>21</v>
      </c>
      <c r="D123" t="s">
        <v>762</v>
      </c>
    </row>
    <row r="124" spans="1:4" x14ac:dyDescent="0.35">
      <c r="A124" t="s">
        <v>1007</v>
      </c>
      <c r="B124" t="s">
        <v>1008</v>
      </c>
      <c r="C124" t="s">
        <v>37</v>
      </c>
      <c r="D124" t="s">
        <v>762</v>
      </c>
    </row>
    <row r="125" spans="1:4" x14ac:dyDescent="0.35">
      <c r="A125" t="s">
        <v>1009</v>
      </c>
      <c r="B125" t="s">
        <v>1010</v>
      </c>
      <c r="C125" t="s">
        <v>14</v>
      </c>
      <c r="D125" t="s">
        <v>762</v>
      </c>
    </row>
    <row r="126" spans="1:4" x14ac:dyDescent="0.35">
      <c r="A126" t="s">
        <v>1011</v>
      </c>
      <c r="B126" t="s">
        <v>1012</v>
      </c>
      <c r="C126" t="s">
        <v>37</v>
      </c>
      <c r="D126" t="s">
        <v>762</v>
      </c>
    </row>
    <row r="127" spans="1:4" x14ac:dyDescent="0.35">
      <c r="A127" t="s">
        <v>1013</v>
      </c>
      <c r="B127" t="s">
        <v>1014</v>
      </c>
      <c r="C127" t="s">
        <v>24</v>
      </c>
      <c r="D127" t="s">
        <v>765</v>
      </c>
    </row>
    <row r="128" spans="1:4" x14ac:dyDescent="0.35">
      <c r="A128" t="s">
        <v>1015</v>
      </c>
      <c r="B128" t="s">
        <v>1016</v>
      </c>
      <c r="C128" t="s">
        <v>37</v>
      </c>
      <c r="D128" t="s">
        <v>770</v>
      </c>
    </row>
    <row r="129" spans="1:4" x14ac:dyDescent="0.35">
      <c r="A129" t="s">
        <v>1017</v>
      </c>
      <c r="B129" t="s">
        <v>1018</v>
      </c>
      <c r="C129" t="s">
        <v>24</v>
      </c>
      <c r="D129" t="s">
        <v>770</v>
      </c>
    </row>
    <row r="130" spans="1:4" x14ac:dyDescent="0.35">
      <c r="A130" t="s">
        <v>1019</v>
      </c>
      <c r="B130" t="s">
        <v>1020</v>
      </c>
      <c r="C130" t="s">
        <v>37</v>
      </c>
      <c r="D130" t="s">
        <v>765</v>
      </c>
    </row>
    <row r="131" spans="1:4" x14ac:dyDescent="0.35">
      <c r="A131" t="s">
        <v>1021</v>
      </c>
      <c r="B131" t="s">
        <v>1022</v>
      </c>
      <c r="C131" t="s">
        <v>21</v>
      </c>
      <c r="D131" t="s">
        <v>762</v>
      </c>
    </row>
    <row r="132" spans="1:4" x14ac:dyDescent="0.35">
      <c r="A132" t="s">
        <v>1023</v>
      </c>
      <c r="B132" t="s">
        <v>1024</v>
      </c>
      <c r="C132" t="s">
        <v>39</v>
      </c>
      <c r="D132" t="s">
        <v>765</v>
      </c>
    </row>
    <row r="133" spans="1:4" x14ac:dyDescent="0.35">
      <c r="A133" t="s">
        <v>1025</v>
      </c>
      <c r="B133" t="s">
        <v>1026</v>
      </c>
      <c r="C133" t="s">
        <v>21</v>
      </c>
      <c r="D133" t="s">
        <v>762</v>
      </c>
    </row>
    <row r="134" spans="1:4" x14ac:dyDescent="0.35">
      <c r="A134" t="s">
        <v>1027</v>
      </c>
      <c r="B134" t="s">
        <v>1028</v>
      </c>
      <c r="C134" t="s">
        <v>21</v>
      </c>
      <c r="D134" t="s">
        <v>765</v>
      </c>
    </row>
    <row r="135" spans="1:4" x14ac:dyDescent="0.35">
      <c r="A135" t="s">
        <v>1029</v>
      </c>
      <c r="B135" t="s">
        <v>1030</v>
      </c>
      <c r="C135" t="s">
        <v>39</v>
      </c>
      <c r="D135" t="s">
        <v>770</v>
      </c>
    </row>
    <row r="136" spans="1:4" x14ac:dyDescent="0.35">
      <c r="A136" t="s">
        <v>1031</v>
      </c>
      <c r="B136" t="s">
        <v>1032</v>
      </c>
      <c r="C136" t="s">
        <v>39</v>
      </c>
      <c r="D136" t="s">
        <v>770</v>
      </c>
    </row>
    <row r="137" spans="1:4" x14ac:dyDescent="0.35">
      <c r="A137" t="s">
        <v>1033</v>
      </c>
      <c r="B137" t="s">
        <v>1034</v>
      </c>
      <c r="C137" t="s">
        <v>14</v>
      </c>
      <c r="D137" t="s">
        <v>770</v>
      </c>
    </row>
    <row r="138" spans="1:4" x14ac:dyDescent="0.35">
      <c r="A138" t="s">
        <v>1035</v>
      </c>
      <c r="B138" t="s">
        <v>1036</v>
      </c>
      <c r="C138" t="s">
        <v>14</v>
      </c>
      <c r="D138" t="s">
        <v>762</v>
      </c>
    </row>
    <row r="139" spans="1:4" x14ac:dyDescent="0.35">
      <c r="A139" t="s">
        <v>1037</v>
      </c>
      <c r="B139" t="s">
        <v>1038</v>
      </c>
      <c r="C139" t="s">
        <v>21</v>
      </c>
      <c r="D139" t="s">
        <v>762</v>
      </c>
    </row>
    <row r="140" spans="1:4" x14ac:dyDescent="0.35">
      <c r="A140" t="s">
        <v>1039</v>
      </c>
      <c r="B140" t="s">
        <v>1040</v>
      </c>
      <c r="C140" t="s">
        <v>21</v>
      </c>
      <c r="D140" t="s">
        <v>765</v>
      </c>
    </row>
    <row r="141" spans="1:4" x14ac:dyDescent="0.35">
      <c r="A141" t="s">
        <v>1041</v>
      </c>
      <c r="B141" t="s">
        <v>1042</v>
      </c>
      <c r="C141" t="s">
        <v>24</v>
      </c>
      <c r="D141" t="s">
        <v>765</v>
      </c>
    </row>
    <row r="142" spans="1:4" x14ac:dyDescent="0.35">
      <c r="A142" t="s">
        <v>1043</v>
      </c>
      <c r="B142" t="s">
        <v>1044</v>
      </c>
      <c r="C142" t="s">
        <v>24</v>
      </c>
      <c r="D142" t="s">
        <v>770</v>
      </c>
    </row>
    <row r="143" spans="1:4" x14ac:dyDescent="0.35">
      <c r="A143" t="s">
        <v>1045</v>
      </c>
      <c r="B143" t="s">
        <v>1046</v>
      </c>
      <c r="C143" t="s">
        <v>14</v>
      </c>
      <c r="D143" t="s">
        <v>762</v>
      </c>
    </row>
    <row r="144" spans="1:4" x14ac:dyDescent="0.35">
      <c r="A144" t="s">
        <v>1047</v>
      </c>
      <c r="B144" t="s">
        <v>1048</v>
      </c>
      <c r="C144" t="s">
        <v>19</v>
      </c>
      <c r="D144" t="s">
        <v>765</v>
      </c>
    </row>
    <row r="145" spans="1:4" x14ac:dyDescent="0.35">
      <c r="A145" t="s">
        <v>1049</v>
      </c>
      <c r="B145" t="s">
        <v>1050</v>
      </c>
      <c r="C145" t="s">
        <v>19</v>
      </c>
      <c r="D145" t="s">
        <v>762</v>
      </c>
    </row>
    <row r="146" spans="1:4" x14ac:dyDescent="0.35">
      <c r="A146" t="s">
        <v>1051</v>
      </c>
      <c r="B146" t="s">
        <v>1052</v>
      </c>
      <c r="C146" t="s">
        <v>14</v>
      </c>
      <c r="D146" t="s">
        <v>762</v>
      </c>
    </row>
    <row r="147" spans="1:4" x14ac:dyDescent="0.35">
      <c r="A147" t="s">
        <v>1053</v>
      </c>
      <c r="B147" t="s">
        <v>1054</v>
      </c>
      <c r="C147" t="s">
        <v>24</v>
      </c>
      <c r="D147" t="s">
        <v>770</v>
      </c>
    </row>
    <row r="148" spans="1:4" x14ac:dyDescent="0.35">
      <c r="A148" t="s">
        <v>1055</v>
      </c>
      <c r="B148" t="s">
        <v>1056</v>
      </c>
      <c r="C148" t="s">
        <v>24</v>
      </c>
      <c r="D148" t="s">
        <v>770</v>
      </c>
    </row>
    <row r="149" spans="1:4" x14ac:dyDescent="0.35">
      <c r="A149" t="s">
        <v>1057</v>
      </c>
      <c r="B149" t="s">
        <v>1058</v>
      </c>
      <c r="C149" t="s">
        <v>19</v>
      </c>
      <c r="D149" t="s">
        <v>762</v>
      </c>
    </row>
    <row r="150" spans="1:4" x14ac:dyDescent="0.35">
      <c r="A150" t="s">
        <v>1059</v>
      </c>
      <c r="B150" t="s">
        <v>1060</v>
      </c>
      <c r="C150" t="s">
        <v>37</v>
      </c>
      <c r="D150" t="s">
        <v>762</v>
      </c>
    </row>
    <row r="151" spans="1:4" x14ac:dyDescent="0.35">
      <c r="A151" t="s">
        <v>1061</v>
      </c>
      <c r="B151" t="s">
        <v>1062</v>
      </c>
      <c r="C151" t="s">
        <v>37</v>
      </c>
      <c r="D151" t="s">
        <v>762</v>
      </c>
    </row>
    <row r="152" spans="1:4" x14ac:dyDescent="0.35">
      <c r="A152" t="s">
        <v>1063</v>
      </c>
      <c r="B152" t="s">
        <v>1064</v>
      </c>
      <c r="C152" t="s">
        <v>24</v>
      </c>
      <c r="D152" t="s">
        <v>762</v>
      </c>
    </row>
    <row r="153" spans="1:4" x14ac:dyDescent="0.35">
      <c r="A153" t="s">
        <v>1065</v>
      </c>
      <c r="B153" t="s">
        <v>1066</v>
      </c>
      <c r="C153" t="s">
        <v>37</v>
      </c>
      <c r="D153" t="s">
        <v>770</v>
      </c>
    </row>
    <row r="154" spans="1:4" x14ac:dyDescent="0.35">
      <c r="A154" t="s">
        <v>1067</v>
      </c>
      <c r="B154" t="s">
        <v>1068</v>
      </c>
      <c r="C154" t="s">
        <v>39</v>
      </c>
      <c r="D154" t="s">
        <v>765</v>
      </c>
    </row>
    <row r="155" spans="1:4" x14ac:dyDescent="0.35">
      <c r="A155" t="s">
        <v>1069</v>
      </c>
      <c r="B155" t="s">
        <v>1070</v>
      </c>
      <c r="C155" t="s">
        <v>14</v>
      </c>
      <c r="D155" t="s">
        <v>770</v>
      </c>
    </row>
    <row r="156" spans="1:4" x14ac:dyDescent="0.35">
      <c r="A156" t="s">
        <v>1071</v>
      </c>
      <c r="B156" t="s">
        <v>1072</v>
      </c>
      <c r="C156" t="s">
        <v>14</v>
      </c>
      <c r="D156" t="s">
        <v>765</v>
      </c>
    </row>
    <row r="157" spans="1:4" x14ac:dyDescent="0.35">
      <c r="A157" t="s">
        <v>1073</v>
      </c>
      <c r="B157" t="s">
        <v>1074</v>
      </c>
      <c r="C157" t="s">
        <v>24</v>
      </c>
      <c r="D157" t="s">
        <v>762</v>
      </c>
    </row>
    <row r="158" spans="1:4" x14ac:dyDescent="0.35">
      <c r="A158" t="s">
        <v>1075</v>
      </c>
      <c r="B158" t="s">
        <v>1076</v>
      </c>
      <c r="C158" t="s">
        <v>21</v>
      </c>
      <c r="D158" t="s">
        <v>765</v>
      </c>
    </row>
    <row r="159" spans="1:4" x14ac:dyDescent="0.35">
      <c r="A159" t="s">
        <v>1077</v>
      </c>
      <c r="B159" t="s">
        <v>1078</v>
      </c>
      <c r="C159" t="s">
        <v>19</v>
      </c>
      <c r="D159" t="s">
        <v>770</v>
      </c>
    </row>
    <row r="160" spans="1:4" x14ac:dyDescent="0.35">
      <c r="A160" t="s">
        <v>1079</v>
      </c>
      <c r="B160" t="s">
        <v>1080</v>
      </c>
      <c r="C160" t="s">
        <v>24</v>
      </c>
      <c r="D160" t="s">
        <v>770</v>
      </c>
    </row>
    <row r="161" spans="1:4" x14ac:dyDescent="0.35">
      <c r="A161" t="s">
        <v>1081</v>
      </c>
      <c r="B161" t="s">
        <v>1082</v>
      </c>
      <c r="C161" t="s">
        <v>37</v>
      </c>
      <c r="D161" t="s">
        <v>762</v>
      </c>
    </row>
    <row r="162" spans="1:4" x14ac:dyDescent="0.35">
      <c r="A162" t="s">
        <v>1083</v>
      </c>
      <c r="B162" t="s">
        <v>1084</v>
      </c>
      <c r="C162" t="s">
        <v>19</v>
      </c>
      <c r="D162" t="s">
        <v>770</v>
      </c>
    </row>
    <row r="163" spans="1:4" x14ac:dyDescent="0.35">
      <c r="A163" t="s">
        <v>1085</v>
      </c>
      <c r="B163" t="s">
        <v>1086</v>
      </c>
      <c r="C163" t="s">
        <v>21</v>
      </c>
      <c r="D163" t="s">
        <v>762</v>
      </c>
    </row>
    <row r="164" spans="1:4" x14ac:dyDescent="0.35">
      <c r="A164" t="s">
        <v>1087</v>
      </c>
      <c r="B164" t="s">
        <v>1088</v>
      </c>
      <c r="C164" t="s">
        <v>37</v>
      </c>
      <c r="D164" t="s">
        <v>770</v>
      </c>
    </row>
    <row r="165" spans="1:4" x14ac:dyDescent="0.35">
      <c r="A165" t="s">
        <v>1089</v>
      </c>
      <c r="B165" t="s">
        <v>1090</v>
      </c>
      <c r="C165" t="s">
        <v>39</v>
      </c>
      <c r="D165" t="s">
        <v>770</v>
      </c>
    </row>
    <row r="166" spans="1:4" x14ac:dyDescent="0.35">
      <c r="A166" t="s">
        <v>1091</v>
      </c>
      <c r="B166" t="s">
        <v>1092</v>
      </c>
      <c r="C166" t="s">
        <v>37</v>
      </c>
      <c r="D166" t="s">
        <v>762</v>
      </c>
    </row>
    <row r="167" spans="1:4" x14ac:dyDescent="0.35">
      <c r="A167" t="s">
        <v>1093</v>
      </c>
      <c r="B167" t="s">
        <v>1094</v>
      </c>
      <c r="C167" t="s">
        <v>39</v>
      </c>
      <c r="D167" t="s">
        <v>765</v>
      </c>
    </row>
    <row r="168" spans="1:4" x14ac:dyDescent="0.35">
      <c r="A168" t="s">
        <v>1095</v>
      </c>
      <c r="B168" t="s">
        <v>1096</v>
      </c>
      <c r="C168" t="s">
        <v>19</v>
      </c>
      <c r="D168" t="s">
        <v>770</v>
      </c>
    </row>
    <row r="169" spans="1:4" x14ac:dyDescent="0.35">
      <c r="A169" t="s">
        <v>1097</v>
      </c>
      <c r="B169" t="s">
        <v>1098</v>
      </c>
      <c r="C169" t="s">
        <v>39</v>
      </c>
      <c r="D169" t="s">
        <v>765</v>
      </c>
    </row>
    <row r="170" spans="1:4" x14ac:dyDescent="0.35">
      <c r="A170" t="s">
        <v>1099</v>
      </c>
      <c r="B170" t="s">
        <v>1100</v>
      </c>
      <c r="C170" t="s">
        <v>19</v>
      </c>
      <c r="D170" t="s">
        <v>770</v>
      </c>
    </row>
    <row r="171" spans="1:4" x14ac:dyDescent="0.35">
      <c r="A171" t="s">
        <v>1101</v>
      </c>
      <c r="B171" t="s">
        <v>1102</v>
      </c>
      <c r="C171" t="s">
        <v>19</v>
      </c>
      <c r="D171" t="s">
        <v>770</v>
      </c>
    </row>
    <row r="172" spans="1:4" x14ac:dyDescent="0.35">
      <c r="A172" t="s">
        <v>1103</v>
      </c>
      <c r="B172" t="s">
        <v>1104</v>
      </c>
      <c r="C172" t="s">
        <v>19</v>
      </c>
      <c r="D172" t="s">
        <v>770</v>
      </c>
    </row>
    <row r="173" spans="1:4" x14ac:dyDescent="0.35">
      <c r="A173" t="s">
        <v>1105</v>
      </c>
      <c r="B173" t="s">
        <v>1106</v>
      </c>
      <c r="C173" t="s">
        <v>19</v>
      </c>
      <c r="D173" t="s">
        <v>770</v>
      </c>
    </row>
    <row r="174" spans="1:4" x14ac:dyDescent="0.35">
      <c r="A174" t="s">
        <v>1107</v>
      </c>
      <c r="B174" t="s">
        <v>1108</v>
      </c>
      <c r="C174" t="s">
        <v>19</v>
      </c>
      <c r="D174" t="s">
        <v>765</v>
      </c>
    </row>
    <row r="175" spans="1:4" x14ac:dyDescent="0.35">
      <c r="A175" t="s">
        <v>1109</v>
      </c>
      <c r="B175" t="s">
        <v>1110</v>
      </c>
      <c r="C175" t="s">
        <v>37</v>
      </c>
      <c r="D175" t="s">
        <v>765</v>
      </c>
    </row>
    <row r="176" spans="1:4" x14ac:dyDescent="0.35">
      <c r="A176" t="s">
        <v>1111</v>
      </c>
      <c r="B176" t="s">
        <v>1112</v>
      </c>
      <c r="C176" t="s">
        <v>19</v>
      </c>
      <c r="D176" t="s">
        <v>770</v>
      </c>
    </row>
    <row r="177" spans="1:4" x14ac:dyDescent="0.35">
      <c r="A177" t="s">
        <v>1113</v>
      </c>
      <c r="B177" t="s">
        <v>1114</v>
      </c>
      <c r="C177" t="s">
        <v>37</v>
      </c>
      <c r="D177" t="s">
        <v>770</v>
      </c>
    </row>
    <row r="178" spans="1:4" x14ac:dyDescent="0.35">
      <c r="A178" t="s">
        <v>1115</v>
      </c>
      <c r="B178" t="s">
        <v>1116</v>
      </c>
      <c r="C178" t="s">
        <v>19</v>
      </c>
      <c r="D178" t="s">
        <v>765</v>
      </c>
    </row>
    <row r="179" spans="1:4" x14ac:dyDescent="0.35">
      <c r="A179" t="s">
        <v>1117</v>
      </c>
      <c r="B179" t="s">
        <v>1118</v>
      </c>
      <c r="C179" t="s">
        <v>39</v>
      </c>
      <c r="D179" t="s">
        <v>762</v>
      </c>
    </row>
    <row r="180" spans="1:4" x14ac:dyDescent="0.35">
      <c r="A180" t="s">
        <v>1119</v>
      </c>
      <c r="B180" t="s">
        <v>1120</v>
      </c>
      <c r="C180" t="s">
        <v>19</v>
      </c>
      <c r="D180" t="s">
        <v>762</v>
      </c>
    </row>
    <row r="181" spans="1:4" x14ac:dyDescent="0.35">
      <c r="A181" t="s">
        <v>1121</v>
      </c>
      <c r="B181" t="s">
        <v>1122</v>
      </c>
      <c r="C181" t="s">
        <v>21</v>
      </c>
      <c r="D181" t="s">
        <v>765</v>
      </c>
    </row>
    <row r="182" spans="1:4" x14ac:dyDescent="0.35">
      <c r="A182" t="s">
        <v>1123</v>
      </c>
      <c r="B182" t="s">
        <v>1124</v>
      </c>
      <c r="C182" t="s">
        <v>19</v>
      </c>
      <c r="D182" t="s">
        <v>770</v>
      </c>
    </row>
    <row r="183" spans="1:4" x14ac:dyDescent="0.35">
      <c r="A183" t="s">
        <v>1125</v>
      </c>
      <c r="B183" t="s">
        <v>1126</v>
      </c>
      <c r="C183" t="s">
        <v>19</v>
      </c>
      <c r="D183" t="s">
        <v>770</v>
      </c>
    </row>
    <row r="184" spans="1:4" x14ac:dyDescent="0.35">
      <c r="A184" t="s">
        <v>1127</v>
      </c>
      <c r="B184" t="s">
        <v>1128</v>
      </c>
      <c r="C184" t="s">
        <v>39</v>
      </c>
      <c r="D184" t="s">
        <v>762</v>
      </c>
    </row>
    <row r="185" spans="1:4" x14ac:dyDescent="0.35">
      <c r="A185" t="s">
        <v>1129</v>
      </c>
      <c r="B185" t="s">
        <v>1130</v>
      </c>
      <c r="C185" t="s">
        <v>14</v>
      </c>
      <c r="D185" t="s">
        <v>762</v>
      </c>
    </row>
    <row r="186" spans="1:4" x14ac:dyDescent="0.35">
      <c r="A186" t="s">
        <v>1131</v>
      </c>
      <c r="B186" t="s">
        <v>1132</v>
      </c>
      <c r="C186" t="s">
        <v>39</v>
      </c>
      <c r="D186" t="s">
        <v>765</v>
      </c>
    </row>
    <row r="187" spans="1:4" x14ac:dyDescent="0.35">
      <c r="A187" t="s">
        <v>1133</v>
      </c>
      <c r="B187" t="s">
        <v>1134</v>
      </c>
      <c r="C187" t="s">
        <v>21</v>
      </c>
      <c r="D187" t="s">
        <v>762</v>
      </c>
    </row>
    <row r="188" spans="1:4" x14ac:dyDescent="0.35">
      <c r="A188" t="s">
        <v>1135</v>
      </c>
      <c r="B188" t="s">
        <v>1136</v>
      </c>
      <c r="C188" t="s">
        <v>14</v>
      </c>
      <c r="D188" t="s">
        <v>765</v>
      </c>
    </row>
    <row r="189" spans="1:4" x14ac:dyDescent="0.35">
      <c r="A189" t="s">
        <v>1137</v>
      </c>
      <c r="B189" t="s">
        <v>1138</v>
      </c>
      <c r="C189" t="s">
        <v>24</v>
      </c>
      <c r="D189" t="s">
        <v>762</v>
      </c>
    </row>
    <row r="190" spans="1:4" x14ac:dyDescent="0.35">
      <c r="A190" t="s">
        <v>1139</v>
      </c>
      <c r="B190" t="s">
        <v>1140</v>
      </c>
      <c r="C190" t="s">
        <v>24</v>
      </c>
      <c r="D190" t="s">
        <v>762</v>
      </c>
    </row>
    <row r="191" spans="1:4" x14ac:dyDescent="0.35">
      <c r="A191" t="s">
        <v>1141</v>
      </c>
      <c r="B191" t="s">
        <v>1142</v>
      </c>
      <c r="C191" t="s">
        <v>21</v>
      </c>
      <c r="D191" t="s">
        <v>762</v>
      </c>
    </row>
    <row r="192" spans="1:4" x14ac:dyDescent="0.35">
      <c r="A192" t="s">
        <v>1143</v>
      </c>
      <c r="B192" t="s">
        <v>1144</v>
      </c>
      <c r="C192" t="s">
        <v>39</v>
      </c>
      <c r="D192" t="s">
        <v>770</v>
      </c>
    </row>
    <row r="193" spans="1:4" x14ac:dyDescent="0.35">
      <c r="A193" t="s">
        <v>1145</v>
      </c>
      <c r="B193" t="s">
        <v>1146</v>
      </c>
      <c r="C193" t="s">
        <v>37</v>
      </c>
      <c r="D193" t="s">
        <v>770</v>
      </c>
    </row>
    <row r="194" spans="1:4" x14ac:dyDescent="0.35">
      <c r="A194" t="s">
        <v>1147</v>
      </c>
      <c r="B194" t="s">
        <v>1148</v>
      </c>
      <c r="C194" t="s">
        <v>21</v>
      </c>
      <c r="D194" t="s">
        <v>770</v>
      </c>
    </row>
    <row r="195" spans="1:4" x14ac:dyDescent="0.35">
      <c r="A195" t="s">
        <v>1149</v>
      </c>
      <c r="B195" t="s">
        <v>1150</v>
      </c>
      <c r="C195" t="s">
        <v>14</v>
      </c>
      <c r="D195" t="s">
        <v>762</v>
      </c>
    </row>
    <row r="196" spans="1:4" x14ac:dyDescent="0.35">
      <c r="A196" t="s">
        <v>1151</v>
      </c>
      <c r="B196" t="s">
        <v>1152</v>
      </c>
      <c r="C196" t="s">
        <v>14</v>
      </c>
      <c r="D196" t="s">
        <v>765</v>
      </c>
    </row>
    <row r="197" spans="1:4" x14ac:dyDescent="0.35">
      <c r="A197" t="s">
        <v>1153</v>
      </c>
      <c r="B197" t="s">
        <v>1154</v>
      </c>
      <c r="C197" t="s">
        <v>19</v>
      </c>
      <c r="D197" t="s">
        <v>765</v>
      </c>
    </row>
    <row r="198" spans="1:4" x14ac:dyDescent="0.35">
      <c r="A198" t="s">
        <v>1155</v>
      </c>
      <c r="B198" t="s">
        <v>1156</v>
      </c>
      <c r="C198" t="s">
        <v>24</v>
      </c>
      <c r="D198" t="s">
        <v>765</v>
      </c>
    </row>
    <row r="199" spans="1:4" x14ac:dyDescent="0.35">
      <c r="A199" t="s">
        <v>1157</v>
      </c>
      <c r="B199" t="s">
        <v>1158</v>
      </c>
      <c r="C199" t="s">
        <v>14</v>
      </c>
      <c r="D199" t="s">
        <v>765</v>
      </c>
    </row>
    <row r="200" spans="1:4" x14ac:dyDescent="0.35">
      <c r="A200" t="s">
        <v>1159</v>
      </c>
      <c r="B200" t="s">
        <v>1160</v>
      </c>
      <c r="C200" t="s">
        <v>21</v>
      </c>
      <c r="D200" t="s">
        <v>770</v>
      </c>
    </row>
    <row r="201" spans="1:4" x14ac:dyDescent="0.35">
      <c r="A201" t="s">
        <v>1161</v>
      </c>
      <c r="B201" t="s">
        <v>1162</v>
      </c>
      <c r="C201" t="s">
        <v>14</v>
      </c>
      <c r="D201" t="s">
        <v>770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Dashboard</vt:lpstr>
      <vt:lpstr>Sales_Data</vt:lpstr>
      <vt:lpstr>Employee_Data</vt:lpstr>
      <vt:lpstr>Products_Master</vt:lpstr>
      <vt:lpstr>Customers_Master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Hira .</cp:lastModifiedBy>
  <dcterms:created xsi:type="dcterms:W3CDTF">2026-10-10T12:14:46Z</dcterms:created>
  <dcterms:modified xsi:type="dcterms:W3CDTF">2026-10-12T10:14:08Z</dcterms:modified>
</cp:coreProperties>
</file>